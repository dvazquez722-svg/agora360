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d6Jl8Ubnl6E6OUaUkaBjD89bK9qrKs7364Hdp9ogYhQ="/>
    </ext>
  </extLst>
</workbook>
</file>

<file path=xl/sharedStrings.xml><?xml version="1.0" encoding="utf-8"?>
<sst xmlns="http://schemas.openxmlformats.org/spreadsheetml/2006/main" count="293" uniqueCount="159">
  <si>
    <t>Fecha</t>
  </si>
  <si>
    <t>Partido</t>
  </si>
  <si>
    <t>Competición</t>
  </si>
  <si>
    <t>Duración</t>
  </si>
  <si>
    <t>Equipo</t>
  </si>
  <si>
    <t>Seleccionar esquema</t>
  </si>
  <si>
    <t>xG</t>
  </si>
  <si>
    <t>Tiros totales</t>
  </si>
  <si>
    <t>Tiros a portería</t>
  </si>
  <si>
    <t>% tiros portería</t>
  </si>
  <si>
    <t>Ataques posicionales totales</t>
  </si>
  <si>
    <t>Ataques posicionales finalizados</t>
  </si>
  <si>
    <t>% ataques posicionales finalizados</t>
  </si>
  <si>
    <t>Contraataques</t>
  </si>
  <si>
    <t>Contraataques finalizados</t>
  </si>
  <si>
    <t>% contraataques finalizados</t>
  </si>
  <si>
    <t>Córners</t>
  </si>
  <si>
    <t>Córners rematados</t>
  </si>
  <si>
    <t>% córners rematados</t>
  </si>
  <si>
    <t>Tiros libres</t>
  </si>
  <si>
    <t>Tiros libres rematados</t>
  </si>
  <si>
    <t>% tiros libres rematados</t>
  </si>
  <si>
    <t>Penaltis</t>
  </si>
  <si>
    <t>Penaltis marcados</t>
  </si>
  <si>
    <t>% penaltis</t>
  </si>
  <si>
    <t>Centros lanzados</t>
  </si>
  <si>
    <t>Centros rematados</t>
  </si>
  <si>
    <t>% centros rematados</t>
  </si>
  <si>
    <t>Duelos ofensivos</t>
  </si>
  <si>
    <t>Duelos ofensivos ganados</t>
  </si>
  <si>
    <t>% duelos ofensivos</t>
  </si>
  <si>
    <t>Fuera de juego</t>
  </si>
  <si>
    <t>Athletic Bilbao</t>
  </si>
  <si>
    <t>Adversarios</t>
  </si>
  <si>
    <t>2026-05-23</t>
  </si>
  <si>
    <t>Ponferradina - Athletic Bilbao 1:0</t>
  </si>
  <si>
    <t>Spain. Primera Division RFEF</t>
  </si>
  <si>
    <t>4-1-4-1 (100.0%)</t>
  </si>
  <si>
    <t>Ponferradina</t>
  </si>
  <si>
    <t>4-4-2 (100.0%)</t>
  </si>
  <si>
    <t>2026-05-17</t>
  </si>
  <si>
    <t>Athletic Bilbao - Guadalajara 2:1</t>
  </si>
  <si>
    <t>4-2-3-1 (100.0%)</t>
  </si>
  <si>
    <t>Guadalajara</t>
  </si>
  <si>
    <t>5-4-1 (100.0%)</t>
  </si>
  <si>
    <t>2026-05-09</t>
  </si>
  <si>
    <t>Pontevedra - Athletic Bilbao 4:0</t>
  </si>
  <si>
    <t>Pontevedra</t>
  </si>
  <si>
    <t>3-4-3 (100.0%)</t>
  </si>
  <si>
    <t>2026-05-03</t>
  </si>
  <si>
    <t>Athletic Bilbao - Ourense CF 2:2</t>
  </si>
  <si>
    <t>Ourense CF</t>
  </si>
  <si>
    <t>2026-04-26</t>
  </si>
  <si>
    <t>Unionistas de Salamanca - Athletic Bilbao 1:1</t>
  </si>
  <si>
    <t>Unionistas de Salamanca</t>
  </si>
  <si>
    <t>4-4-2 (74.97%)</t>
  </si>
  <si>
    <t>2026-04-19</t>
  </si>
  <si>
    <t>Athletic Bilbao - Racing Ferrol 0:1</t>
  </si>
  <si>
    <t>Racing Ferrol</t>
  </si>
  <si>
    <t>2026-04-10</t>
  </si>
  <si>
    <t>Cacereño - Athletic Bilbao 1:0</t>
  </si>
  <si>
    <t>Cacereño</t>
  </si>
  <si>
    <t>4-4-2 (45.1%)</t>
  </si>
  <si>
    <t>2026-04-04</t>
  </si>
  <si>
    <t>Athletic Bilbao - Talavera CF 1:2</t>
  </si>
  <si>
    <t>Talavera CF</t>
  </si>
  <si>
    <t>2026-03-29</t>
  </si>
  <si>
    <t>Celta Fortuna - Athletic Bilbao 2:1</t>
  </si>
  <si>
    <t>4-2-1-3 (85.77%)</t>
  </si>
  <si>
    <t>Celta Fortuna</t>
  </si>
  <si>
    <t>5-4-1 (59.09%)</t>
  </si>
  <si>
    <t>2026-03-20</t>
  </si>
  <si>
    <t>Athletic Bilbao - Mérida AD 1:1</t>
  </si>
  <si>
    <t>Mérida AD</t>
  </si>
  <si>
    <t>4-5-1 (100.0%)</t>
  </si>
  <si>
    <t>2026-03-15</t>
  </si>
  <si>
    <t>Osasuna Promesas - Athletic Bilbao 0:1</t>
  </si>
  <si>
    <t>Osasuna Promesas</t>
  </si>
  <si>
    <t>5-3-2 (100.0%)</t>
  </si>
  <si>
    <t>2026-03-08</t>
  </si>
  <si>
    <t>Athletic Bilbao - Arenas Club 1:1</t>
  </si>
  <si>
    <t>Arenas Club</t>
  </si>
  <si>
    <t>2026-02-27</t>
  </si>
  <si>
    <t>Lugo - Athletic Bilbao 1:0</t>
  </si>
  <si>
    <t>Lugo</t>
  </si>
  <si>
    <t>4-1-4-1 (86.77%)</t>
  </si>
  <si>
    <t>2026-02-13</t>
  </si>
  <si>
    <t>Real Madrid Castilla - Athletic Bilbao 2:1</t>
  </si>
  <si>
    <t>3-4-3 (49.28%)</t>
  </si>
  <si>
    <t>Real Madrid Castilla</t>
  </si>
  <si>
    <t>4-3-3 (35.85%)</t>
  </si>
  <si>
    <t>2026-02-07</t>
  </si>
  <si>
    <t>Athletic Bilbao - Tenerife 0:0</t>
  </si>
  <si>
    <t>Tenerife</t>
  </si>
  <si>
    <t>2026-01-30</t>
  </si>
  <si>
    <t>Arenteiro - Athletic Bilbao 1:1</t>
  </si>
  <si>
    <t>Arenteiro</t>
  </si>
  <si>
    <t>2026-01-25</t>
  </si>
  <si>
    <t>Athletic Bilbao - Barakaldo 2:0</t>
  </si>
  <si>
    <t>Barakaldo</t>
  </si>
  <si>
    <t>4-2-3-1 (13.03%)</t>
  </si>
  <si>
    <t>2026-01-16</t>
  </si>
  <si>
    <t>Athletic Bilbao - Real Avilés 0:2</t>
  </si>
  <si>
    <t>Real Avilés</t>
  </si>
  <si>
    <t>2026-01-10</t>
  </si>
  <si>
    <t>Racing Ferrol - Athletic Bilbao 0:1</t>
  </si>
  <si>
    <t>4-2-3-1 (57.19%)</t>
  </si>
  <si>
    <t>2026-01-04</t>
  </si>
  <si>
    <t>Athletic Bilbao - Ponferradina 1:0</t>
  </si>
  <si>
    <t>4-4-2 (92.38%)</t>
  </si>
  <si>
    <t>2025-12-19</t>
  </si>
  <si>
    <t>Mérida AD - Athletic Bilbao 2:3</t>
  </si>
  <si>
    <t>2025-12-14</t>
  </si>
  <si>
    <t>Athletic Bilbao - Celta Fortuna 1:2</t>
  </si>
  <si>
    <t>4-4-2 (97.95%)</t>
  </si>
  <si>
    <t>3-4-2-1 (20.69%)</t>
  </si>
  <si>
    <t>2025-12-07</t>
  </si>
  <si>
    <t>Arenas Club - Athletic Bilbao 3:1</t>
  </si>
  <si>
    <t>2025-11-29</t>
  </si>
  <si>
    <t>Athletic Bilbao - Lugo 2:0</t>
  </si>
  <si>
    <t>2025-11-22</t>
  </si>
  <si>
    <t>Guadalajara - Athletic Bilbao 2:3</t>
  </si>
  <si>
    <t>4-4-2 (84.4%)</t>
  </si>
  <si>
    <t>4-4-2 (97.72%)</t>
  </si>
  <si>
    <t>2025-11-16</t>
  </si>
  <si>
    <t>Athletic Bilbao - Arenteiro 2:1</t>
  </si>
  <si>
    <t>4-4-2 (59.8%)</t>
  </si>
  <si>
    <t>2025-11-08</t>
  </si>
  <si>
    <t>Tenerife - Athletic Bilbao 0:1</t>
  </si>
  <si>
    <t>4-2-3-1 (61.77%)</t>
  </si>
  <si>
    <t>2025-11-01</t>
  </si>
  <si>
    <t>Athletic Bilbao - Unionistas de Salamanca 0:0</t>
  </si>
  <si>
    <t>4-2-3-1 (91.5%)</t>
  </si>
  <si>
    <t>2025-10-26</t>
  </si>
  <si>
    <t>Zamora - Athletic Bilbao 4:1</t>
  </si>
  <si>
    <t>Zamora</t>
  </si>
  <si>
    <t>2025-10-19</t>
  </si>
  <si>
    <t>Athletic Bilbao - Cacereño 1:3</t>
  </si>
  <si>
    <t>4-2-3-1 (79.93%)</t>
  </si>
  <si>
    <t>2025-10-10</t>
  </si>
  <si>
    <t>Barakaldo - Athletic Bilbao 2:1</t>
  </si>
  <si>
    <t>4-4-2 (72.6%)</t>
  </si>
  <si>
    <t>2025-10-05</t>
  </si>
  <si>
    <t>Athletic Bilbao - Osasuna Promesas 0:0</t>
  </si>
  <si>
    <t>2025-09-28</t>
  </si>
  <si>
    <t>Real Avilés - Athletic Bilbao 3:2</t>
  </si>
  <si>
    <t>4-2-3-1 (80.04%)</t>
  </si>
  <si>
    <t>4-2-3-1 (94.02%)</t>
  </si>
  <si>
    <t>2025-09-20</t>
  </si>
  <si>
    <t>Athletic Bilbao - Pontevedra 1:0</t>
  </si>
  <si>
    <t>4-4-1-1 (100.0%)</t>
  </si>
  <si>
    <t>2025-09-14</t>
  </si>
  <si>
    <t>Athletic Bilbao - Real Madrid Castilla 1:0</t>
  </si>
  <si>
    <t>4-3-3 (37.74%)</t>
  </si>
  <si>
    <t>2025-09-07</t>
  </si>
  <si>
    <t>Talavera CF - Athletic Bilbao 1:1</t>
  </si>
  <si>
    <t>4-3-3 (100.0%)</t>
  </si>
  <si>
    <t>2025-08-31</t>
  </si>
  <si>
    <t>Ourense CF - Athletic Bilbao 0:0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</si>
</sst>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9.5"/>
    <col customWidth="1" min="3" max="3" width="19.63"/>
    <col customWidth="1" min="4" max="4" width="7.5"/>
    <col customWidth="1" min="5" max="6" width="15.25"/>
    <col customWidth="1" min="7" max="7" width="6.38"/>
    <col customWidth="1" min="8" max="8" width="16.25"/>
    <col customWidth="1" min="9" max="9" width="5.25"/>
    <col customWidth="1" min="10" max="10" width="7.5"/>
    <col customWidth="1" min="11" max="11" width="24.0"/>
    <col customWidth="1" min="12" max="12" width="5.25"/>
    <col customWidth="1" min="13" max="13" width="7.5"/>
    <col customWidth="1" min="14" max="14" width="19.63"/>
    <col customWidth="1" min="15" max="15" width="4.25"/>
    <col customWidth="1" min="16" max="16" width="7.5"/>
    <col customWidth="1" min="17" max="17" width="18.5"/>
    <col customWidth="1" min="18" max="18" width="5.25"/>
    <col customWidth="1" min="19" max="19" width="7.5"/>
    <col customWidth="1" min="20" max="20" width="18.5"/>
    <col customWidth="1" min="21" max="21" width="5.25"/>
    <col customWidth="1" min="22" max="22" width="7.5"/>
    <col customWidth="1" min="23" max="23" width="13.0"/>
    <col customWidth="1" min="24" max="24" width="5.25"/>
    <col customWidth="1" min="25" max="25" width="7.5"/>
    <col customWidth="1" min="26" max="26" width="14.13"/>
    <col customWidth="1" min="27" max="27" width="6.38"/>
    <col customWidth="1" min="28" max="28" width="7.5"/>
    <col customWidth="1" min="29" max="29" width="21.75"/>
    <col customWidth="1" min="30" max="30" width="6.38"/>
    <col customWidth="1" min="31" max="31" width="7.5"/>
    <col customWidth="1" min="32" max="32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8.0" customHeight="1">
      <c r="A2" s="2" t="s">
        <v>32</v>
      </c>
      <c r="B2" s="2"/>
      <c r="C2" s="2"/>
      <c r="D2" s="2"/>
      <c r="E2" s="2"/>
      <c r="F2" s="2"/>
      <c r="G2" s="2">
        <f t="shared" ref="G2:I2" si="1">AVERAGE(G4,G6,G8,G10,G12,G14,G16,G18,G20,G22,G24,G26,G28,G30,G32,G34,G36,G38,G40,G42,G44,G46,G48,G50,G52,G54,G56,G58,G60,G62,G64,G66,G68,G70,G72,G74,G76)</f>
        <v>1.514324324</v>
      </c>
      <c r="H2" s="2">
        <f t="shared" si="1"/>
        <v>13.05405405</v>
      </c>
      <c r="I2" s="2">
        <f t="shared" si="1"/>
        <v>4.594594595</v>
      </c>
      <c r="J2" s="2">
        <f t="shared" ref="J2:J3" si="10">IFERROR(SUM(I4,I6,I8,I10,I12,I14,I16,I18,I20,I22,I24,I26,I28,I30,I32,I34,I36,I38,I40,I42,I44,I46,I48,I50,I52,I54,I56,I58,I60,I62,I64,I66,I68,I70,I72,I74,I76)/SUM(H4,H6,H8,H10,H12,H14,H16,H18,H20,H22,H24,H26,H28,H30,H32,H34,H36,H38,H40,H42,H44,H46,H48,H50,H52,H54,H56,H58,H60,H62,H64,H66,H68,H70,H72,H74,H76)*100,0)</f>
        <v>35.19668737</v>
      </c>
      <c r="K2" s="2">
        <f t="shared" ref="K2:L2" si="2">AVERAGE(K4,K6,K8,K10,K12,K14,K16,K18,K20,K22,K24,K26,K28,K30,K32,K34,K36,K38,K40,K42,K44,K46,K48,K50,K52,K54,K56,K58,K60,K62,K64,K66,K68,K70,K72,K74,K76)</f>
        <v>29.7027027</v>
      </c>
      <c r="L2" s="2">
        <f t="shared" si="2"/>
        <v>8.378378378</v>
      </c>
      <c r="M2" s="2">
        <f t="shared" ref="M2:M3" si="12">IFERROR(SUM(L4,L6,L8,L10,L12,L14,L16,L18,L20,L22,L24,L26,L28,L30,L32,L34,L36,L38,L40,L42,L44,L46,L48,L50,L52,L54,L56,L58,L60,L62,L64,L66,L68,L70,L72,L74,L76)/SUM(K4,K6,K8,K10,K12,K14,K16,K18,K20,K22,K24,K26,K28,K30,K32,K34,K36,K38,K40,K42,K44,K46,K48,K50,K52,K54,K56,K58,K60,K62,K64,K66,K68,K70,K72,K74,K76)*100,0)</f>
        <v>28.20746133</v>
      </c>
      <c r="N2" s="2">
        <f t="shared" ref="N2:O2" si="3">AVERAGE(N4,N6,N8,N10,N12,N14,N16,N18,N20,N22,N24,N26,N28,N30,N32,N34,N36,N38,N40,N42,N44,N46,N48,N50,N52,N54,N56,N58,N60,N62,N64,N66,N68,N70,N72,N74,N76)</f>
        <v>0.8378378378</v>
      </c>
      <c r="O2" s="2">
        <f t="shared" si="3"/>
        <v>0.4864864865</v>
      </c>
      <c r="P2" s="2">
        <f t="shared" ref="P2:P3" si="14">IFERROR(SUM(O4,O6,O8,O10,O12,O14,O16,O18,O20,O22,O24,O26,O28,O30,O32,O34,O36,O38,O40,O42,O44,O46,O48,O50,O52,O54,O56,O58,O60,O62,O64,O66,O68,O70,O72,O74,O76)/SUM(N4,N6,N8,N10,N12,N14,N16,N18,N20,N22,N24,N26,N28,N30,N32,N34,N36,N38,N40,N42,N44,N46,N48,N50,N52,N54,N56,N58,N60,N62,N64,N66,N68,N70,N72,N74,N76)*100,0)</f>
        <v>58.06451613</v>
      </c>
      <c r="Q2" s="2">
        <f t="shared" ref="Q2:R2" si="4">AVERAGE(Q4,Q6,Q8,Q10,Q12,Q14,Q16,Q18,Q20,Q22,Q24,Q26,Q28,Q30,Q32,Q34,Q36,Q38,Q40,Q42,Q44,Q46,Q48,Q50,Q52,Q54,Q56,Q58,Q60,Q62,Q64,Q66,Q68,Q70,Q72,Q74,Q76)</f>
        <v>5.297297297</v>
      </c>
      <c r="R2" s="2">
        <f t="shared" si="4"/>
        <v>1.486486486</v>
      </c>
      <c r="S2" s="2">
        <f t="shared" ref="S2:S3" si="16">IFERROR(SUM(R4,R6,R8,R10,R12,R14,R16,R18,R20,R22,R24,R26,R28,R30,R32,R34,R36,R38,R40,R42,R44,R46,R48,R50,R52,R54,R56,R58,R60,R62,R64,R66,R68,R70,R72,R74,R76)/SUM(Q4,Q6,Q8,Q10,Q12,Q14,Q16,Q18,Q20,Q22,Q24,Q26,Q28,Q30,Q32,Q34,Q36,Q38,Q40,Q42,Q44,Q46,Q48,Q50,Q52,Q54,Q56,Q58,Q60,Q62,Q64,Q66,Q68,Q70,Q72,Q74,Q76)*100,0)</f>
        <v>28.06122449</v>
      </c>
      <c r="T2" s="2">
        <f t="shared" ref="T2:U2" si="5">AVERAGE(T4,T6,T8,T10,T12,T14,T16,T18,T20,T22,T24,T26,T28,T30,T32,T34,T36,T38,T40,T42,T44,T46,T48,T50,T52,T54,T56,T58,T60,T62,T64,T66,T68,T70,T72,T74,T76)</f>
        <v>2.567567568</v>
      </c>
      <c r="U2" s="2">
        <f t="shared" si="5"/>
        <v>0.6756756757</v>
      </c>
      <c r="V2" s="2">
        <f t="shared" ref="V2:V3" si="18">IFERROR(SUM(U4,U6,U8,U10,U12,U14,U16,U18,U20,U22,U24,U26,U28,U30,U32,U34,U36,U38,U40,U42,U44,U46,U48,U50,U52,U54,U56,U58,U60,U62,U64,U66,U68,U70,U72,U74,U76)/SUM(T4,T6,T8,T10,T12,T14,T16,T18,T20,T22,T24,T26,T28,T30,T32,T34,T36,T38,T40,T42,T44,T46,T48,T50,T52,T54,T56,T58,T60,T62,T64,T66,T68,T70,T72,T74,T76)*100,0)</f>
        <v>26.31578947</v>
      </c>
      <c r="W2" s="2">
        <f t="shared" ref="W2:X2" si="6">AVERAGE(W4,W6,W8,W10,W12,W14,W16,W18,W20,W22,W24,W26,W28,W30,W32,W34,W36,W38,W40,W42,W44,W46,W48,W50,W52,W54,W56,W58,W60,W62,W64,W66,W68,W70,W72,W74,W76)</f>
        <v>0.1081081081</v>
      </c>
      <c r="X2" s="2">
        <f t="shared" si="6"/>
        <v>0.08108108108</v>
      </c>
      <c r="Y2" s="2">
        <f t="shared" ref="Y2:Y3" si="20">IFERROR(SUM(X4,X6,X8,X10,X12,X14,X16,X18,X20,X22,X24,X26,X28,X30,X32,X34,X36,X38,X40,X42,X44,X46,X48,X50,X52,X54,X56,X58,X60,X62,X64,X66,X68,X70,X72,X74,X76)/SUM(W4,W6,W8,W10,W12,W14,W16,W18,W20,W22,W24,W26,W28,W30,W32,W34,W36,W38,W40,W42,W44,W46,W48,W50,W52,W54,W56,W58,W60,W62,W64,W66,W68,W70,W72,W74,W76)*100,0)</f>
        <v>75</v>
      </c>
      <c r="Z2" s="2">
        <f t="shared" ref="Z2:AA2" si="7">AVERAGE(Z4,Z6,Z8,Z10,Z12,Z14,Z16,Z18,Z20,Z22,Z24,Z26,Z28,Z30,Z32,Z34,Z36,Z38,Z40,Z42,Z44,Z46,Z48,Z50,Z52,Z54,Z56,Z58,Z60,Z62,Z64,Z66,Z68,Z70,Z72,Z74,Z76)</f>
        <v>15.89189189</v>
      </c>
      <c r="AA2" s="2">
        <f t="shared" si="7"/>
        <v>5.108108108</v>
      </c>
      <c r="AB2" s="2">
        <f t="shared" ref="AB2:AB3" si="22">IFERROR(SUM(AA4,AA6,AA8,AA10,AA12,AA14,AA16,AA18,AA20,AA22,AA24,AA26,AA28,AA30,AA32,AA34,AA36,AA38,AA40,AA42,AA44,AA46,AA48,AA50,AA52,AA54,AA56,AA58,AA60,AA62,AA64,AA66,AA68,AA70,AA72,AA74,AA76)/SUM(Z4,Z6,Z8,Z10,Z12,Z14,Z16,Z18,Z20,Z22,Z24,Z26,Z28,Z30,Z32,Z34,Z36,Z38,Z40,Z42,Z44,Z46,Z48,Z50,Z52,Z54,Z56,Z58,Z60,Z62,Z64,Z66,Z68,Z70,Z72,Z74,Z76)*100,0)</f>
        <v>32.14285714</v>
      </c>
      <c r="AC2" s="2">
        <f t="shared" ref="AC2:AD2" si="8">AVERAGE(AC4,AC6,AC8,AC10,AC12,AC14,AC16,AC18,AC20,AC22,AC24,AC26,AC28,AC30,AC32,AC34,AC36,AC38,AC40,AC42,AC44,AC46,AC48,AC50,AC52,AC54,AC56,AC58,AC60,AC62,AC64,AC66,AC68,AC70,AC72,AC74,AC76)</f>
        <v>71.10810811</v>
      </c>
      <c r="AD2" s="2">
        <f t="shared" si="8"/>
        <v>26.75675676</v>
      </c>
      <c r="AE2" s="2">
        <f t="shared" ref="AE2:AE3" si="24">IFERROR(SUM(AD4,AD6,AD8,AD10,AD12,AD14,AD16,AD18,AD20,AD22,AD24,AD26,AD28,AD30,AD32,AD34,AD36,AD38,AD40,AD42,AD44,AD46,AD48,AD50,AD52,AD54,AD56,AD58,AD60,AD62,AD64,AD66,AD68,AD70,AD72,AD74,AD76)/SUM(AC4,AC6,AC8,AC10,AC12,AC14,AC16,AC18,AC20,AC22,AC24,AC26,AC28,AC30,AC32,AC34,AC36,AC38,AC40,AC42,AC44,AC46,AC48,AC50,AC52,AC54,AC56,AC58,AC60,AC62,AC64,AC66,AC68,AC70,AC72,AC74,AC76)*100,0)</f>
        <v>37.62827822</v>
      </c>
      <c r="AF2" s="2">
        <f t="shared" ref="AF2:AF3" si="25">AVERAGE(AF4,AF6,AF8,AF10,AF12,AF14,AF16,AF18,AF20,AF22,AF24,AF26,AF28,AF30,AF32,AF34,AF36,AF38,AF40,AF42,AF44,AF46,AF48,AF50,AF52,AF54,AF56,AF58,AF60,AF62,AF64,AF66,AF68,AF70,AF72,AF74,AF76)</f>
        <v>2.054054054</v>
      </c>
    </row>
    <row r="3" ht="18.0" customHeight="1">
      <c r="A3" s="2" t="s">
        <v>33</v>
      </c>
      <c r="B3" s="2"/>
      <c r="C3" s="2"/>
      <c r="D3" s="2"/>
      <c r="E3" s="2"/>
      <c r="F3" s="2"/>
      <c r="G3" s="2">
        <f t="shared" ref="G3:I3" si="9">AVERAGE(G5,G7,G9,G11,G13,G15,G17,G19,G21,G23,G25,G27,G29,G31,G33,G35,G37,G39,G41,G43,G45,G47,G49,G51,G53,G55,G57,G59,G61,G63,G65,G67,G69,G71,G73,G75,G77)</f>
        <v>1.304864865</v>
      </c>
      <c r="H3" s="2">
        <f t="shared" si="9"/>
        <v>10.72972973</v>
      </c>
      <c r="I3" s="2">
        <f t="shared" si="9"/>
        <v>3.972972973</v>
      </c>
      <c r="J3" s="2">
        <f t="shared" si="10"/>
        <v>37.02770781</v>
      </c>
      <c r="K3" s="2">
        <f t="shared" ref="K3:L3" si="11">AVERAGE(K5,K7,K9,K11,K13,K15,K17,K19,K21,K23,K25,K27,K29,K31,K33,K35,K37,K39,K41,K43,K45,K47,K49,K51,K53,K55,K57,K59,K61,K63,K65,K67,K69,K71,K73,K75,K77)</f>
        <v>26.64864865</v>
      </c>
      <c r="L3" s="2">
        <f t="shared" si="11"/>
        <v>6.540540541</v>
      </c>
      <c r="M3" s="2">
        <f t="shared" si="12"/>
        <v>24.54361055</v>
      </c>
      <c r="N3" s="2">
        <f t="shared" ref="N3:O3" si="13">AVERAGE(N5,N7,N9,N11,N13,N15,N17,N19,N21,N23,N25,N27,N29,N31,N33,N35,N37,N39,N41,N43,N45,N47,N49,N51,N53,N55,N57,N59,N61,N63,N65,N67,N69,N71,N73,N75,N77)</f>
        <v>0.4594594595</v>
      </c>
      <c r="O3" s="2">
        <f t="shared" si="13"/>
        <v>0.3513513514</v>
      </c>
      <c r="P3" s="2">
        <f t="shared" si="14"/>
        <v>76.47058824</v>
      </c>
      <c r="Q3" s="2">
        <f t="shared" ref="Q3:R3" si="15">AVERAGE(Q5,Q7,Q9,Q11,Q13,Q15,Q17,Q19,Q21,Q23,Q25,Q27,Q29,Q31,Q33,Q35,Q37,Q39,Q41,Q43,Q45,Q47,Q49,Q51,Q53,Q55,Q57,Q59,Q61,Q63,Q65,Q67,Q69,Q71,Q73,Q75,Q77)</f>
        <v>3.945945946</v>
      </c>
      <c r="R3" s="2">
        <f t="shared" si="15"/>
        <v>1.594594595</v>
      </c>
      <c r="S3" s="2">
        <f t="shared" si="16"/>
        <v>40.4109589</v>
      </c>
      <c r="T3" s="2">
        <f t="shared" ref="T3:U3" si="17">AVERAGE(T5,T7,T9,T11,T13,T15,T17,T19,T21,T23,T25,T27,T29,T31,T33,T35,T37,T39,T41,T43,T45,T47,T49,T51,T53,T55,T57,T59,T61,T63,T65,T67,T69,T71,T73,T75,T77)</f>
        <v>2.486486486</v>
      </c>
      <c r="U3" s="2">
        <f t="shared" si="17"/>
        <v>0.7837837838</v>
      </c>
      <c r="V3" s="2">
        <f t="shared" si="18"/>
        <v>31.52173913</v>
      </c>
      <c r="W3" s="2">
        <f t="shared" ref="W3:X3" si="19">AVERAGE(W5,W7,W9,W11,W13,W15,W17,W19,W21,W23,W25,W27,W29,W31,W33,W35,W37,W39,W41,W43,W45,W47,W49,W51,W53,W55,W57,W59,W61,W63,W65,W67,W69,W71,W73,W75,W77)</f>
        <v>0.1891891892</v>
      </c>
      <c r="X3" s="2">
        <f t="shared" si="19"/>
        <v>0.1621621622</v>
      </c>
      <c r="Y3" s="2">
        <f t="shared" si="20"/>
        <v>85.71428571</v>
      </c>
      <c r="Z3" s="2">
        <f t="shared" ref="Z3:AA3" si="21">AVERAGE(Z5,Z7,Z9,Z11,Z13,Z15,Z17,Z19,Z21,Z23,Z25,Z27,Z29,Z31,Z33,Z35,Z37,Z39,Z41,Z43,Z45,Z47,Z49,Z51,Z53,Z55,Z57,Z59,Z61,Z63,Z65,Z67,Z69,Z71,Z73,Z75,Z77)</f>
        <v>16.2972973</v>
      </c>
      <c r="AA3" s="2">
        <f t="shared" si="21"/>
        <v>4.837837838</v>
      </c>
      <c r="AB3" s="2">
        <f t="shared" si="22"/>
        <v>29.68490879</v>
      </c>
      <c r="AC3" s="2">
        <f t="shared" ref="AC3:AD3" si="23">AVERAGE(AC5,AC7,AC9,AC11,AC13,AC15,AC17,AC19,AC21,AC23,AC25,AC27,AC29,AC31,AC33,AC35,AC37,AC39,AC41,AC43,AC45,AC47,AC49,AC51,AC53,AC55,AC57,AC59,AC61,AC63,AC65,AC67,AC69,AC71,AC73,AC75,AC77)</f>
        <v>59.02702703</v>
      </c>
      <c r="AD3" s="2">
        <f t="shared" si="23"/>
        <v>22.91891892</v>
      </c>
      <c r="AE3" s="2">
        <f t="shared" si="24"/>
        <v>38.82783883</v>
      </c>
      <c r="AF3" s="2">
        <f t="shared" si="25"/>
        <v>1.432432432</v>
      </c>
    </row>
    <row r="4" ht="12.0" customHeight="1">
      <c r="A4" s="3" t="s">
        <v>34</v>
      </c>
      <c r="B4" s="3" t="s">
        <v>35</v>
      </c>
      <c r="C4" s="3" t="s">
        <v>36</v>
      </c>
      <c r="D4" s="3">
        <v>99.0</v>
      </c>
      <c r="E4" s="3" t="s">
        <v>32</v>
      </c>
      <c r="F4" s="3" t="s">
        <v>37</v>
      </c>
      <c r="G4" s="3">
        <v>0.58</v>
      </c>
      <c r="H4" s="3">
        <v>9.0</v>
      </c>
      <c r="I4" s="3">
        <v>0.0</v>
      </c>
      <c r="J4" s="3">
        <v>0.0</v>
      </c>
      <c r="K4" s="3">
        <v>23.0</v>
      </c>
      <c r="L4" s="3">
        <v>6.0</v>
      </c>
      <c r="M4" s="3">
        <v>26.09</v>
      </c>
      <c r="N4" s="3">
        <v>0.0</v>
      </c>
      <c r="O4" s="3">
        <v>0.0</v>
      </c>
      <c r="P4" s="3">
        <v>0.0</v>
      </c>
      <c r="Q4" s="3">
        <v>4.0</v>
      </c>
      <c r="R4" s="3">
        <v>0.0</v>
      </c>
      <c r="S4" s="3">
        <v>0.0</v>
      </c>
      <c r="T4" s="3">
        <v>1.0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10.0</v>
      </c>
      <c r="AA4" s="3">
        <v>3.0</v>
      </c>
      <c r="AB4" s="3">
        <v>30.0</v>
      </c>
      <c r="AC4" s="3">
        <v>77.0</v>
      </c>
      <c r="AD4" s="3">
        <v>30.0</v>
      </c>
      <c r="AE4" s="3">
        <v>38.96</v>
      </c>
      <c r="AF4" s="3">
        <v>2.0</v>
      </c>
    </row>
    <row r="5" ht="12.0" customHeight="1">
      <c r="E5" s="3" t="s">
        <v>38</v>
      </c>
      <c r="F5" s="3" t="s">
        <v>39</v>
      </c>
      <c r="G5" s="3">
        <v>1.36</v>
      </c>
      <c r="H5" s="3">
        <v>12.0</v>
      </c>
      <c r="I5" s="3">
        <v>3.0</v>
      </c>
      <c r="J5" s="3">
        <v>25.0</v>
      </c>
      <c r="K5" s="3">
        <v>39.0</v>
      </c>
      <c r="L5" s="3">
        <v>10.0</v>
      </c>
      <c r="M5" s="3">
        <v>25.64</v>
      </c>
      <c r="N5" s="3">
        <v>1.0</v>
      </c>
      <c r="O5" s="3">
        <v>0.0</v>
      </c>
      <c r="P5" s="3">
        <v>0.0</v>
      </c>
      <c r="Q5" s="3">
        <v>1.0</v>
      </c>
      <c r="R5" s="3">
        <v>1.0</v>
      </c>
      <c r="S5" s="3">
        <v>100.0</v>
      </c>
      <c r="T5" s="3">
        <v>1.0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13.0</v>
      </c>
      <c r="AA5" s="3">
        <v>1.0</v>
      </c>
      <c r="AB5" s="3">
        <v>7.69</v>
      </c>
      <c r="AC5" s="3">
        <v>60.0</v>
      </c>
      <c r="AD5" s="3">
        <v>22.0</v>
      </c>
      <c r="AE5" s="3">
        <v>36.67</v>
      </c>
      <c r="AF5" s="3">
        <v>2.0</v>
      </c>
    </row>
    <row r="6" ht="12.0" customHeight="1">
      <c r="A6" s="3" t="s">
        <v>40</v>
      </c>
      <c r="B6" s="3" t="s">
        <v>41</v>
      </c>
      <c r="C6" s="3" t="s">
        <v>36</v>
      </c>
      <c r="D6" s="3">
        <v>98.0</v>
      </c>
      <c r="E6" s="3" t="s">
        <v>32</v>
      </c>
      <c r="F6" s="3" t="s">
        <v>42</v>
      </c>
      <c r="G6" s="3">
        <v>1.6</v>
      </c>
      <c r="H6" s="3">
        <v>9.0</v>
      </c>
      <c r="I6" s="3">
        <v>4.0</v>
      </c>
      <c r="J6" s="3">
        <v>44.44</v>
      </c>
      <c r="K6" s="3">
        <v>24.0</v>
      </c>
      <c r="L6" s="3">
        <v>5.0</v>
      </c>
      <c r="M6" s="3">
        <v>20.83</v>
      </c>
      <c r="N6" s="3">
        <v>2.0</v>
      </c>
      <c r="O6" s="3">
        <v>1.0</v>
      </c>
      <c r="P6" s="3">
        <v>50.0</v>
      </c>
      <c r="Q6" s="3">
        <v>6.0</v>
      </c>
      <c r="R6" s="3">
        <v>0.0</v>
      </c>
      <c r="S6" s="3">
        <v>0.0</v>
      </c>
      <c r="T6" s="3">
        <v>1.0</v>
      </c>
      <c r="U6" s="3">
        <v>1.0</v>
      </c>
      <c r="V6" s="3">
        <v>100.0</v>
      </c>
      <c r="W6" s="3">
        <v>1.0</v>
      </c>
      <c r="X6" s="3">
        <v>1.0</v>
      </c>
      <c r="Y6" s="3">
        <v>100.0</v>
      </c>
      <c r="Z6" s="3">
        <v>8.0</v>
      </c>
      <c r="AA6" s="3">
        <v>1.0</v>
      </c>
      <c r="AB6" s="3">
        <v>12.5</v>
      </c>
      <c r="AC6" s="3">
        <v>84.0</v>
      </c>
      <c r="AD6" s="3">
        <v>27.0</v>
      </c>
      <c r="AE6" s="3">
        <v>32.14</v>
      </c>
      <c r="AF6" s="3">
        <v>2.0</v>
      </c>
    </row>
    <row r="7" ht="12.0" customHeight="1">
      <c r="E7" s="3" t="s">
        <v>43</v>
      </c>
      <c r="F7" s="3" t="s">
        <v>44</v>
      </c>
      <c r="G7" s="3">
        <v>1.73</v>
      </c>
      <c r="H7" s="3">
        <v>15.0</v>
      </c>
      <c r="I7" s="3">
        <v>1.0</v>
      </c>
      <c r="J7" s="3">
        <v>6.67</v>
      </c>
      <c r="K7" s="3">
        <v>21.0</v>
      </c>
      <c r="L7" s="3">
        <v>8.0</v>
      </c>
      <c r="M7" s="3">
        <v>38.1</v>
      </c>
      <c r="N7" s="3">
        <v>0.0</v>
      </c>
      <c r="O7" s="3">
        <v>0.0</v>
      </c>
      <c r="P7" s="3">
        <v>0.0</v>
      </c>
      <c r="Q7" s="3">
        <v>4.0</v>
      </c>
      <c r="R7" s="3">
        <v>3.0</v>
      </c>
      <c r="S7" s="3">
        <v>75.0</v>
      </c>
      <c r="T7" s="3">
        <v>4.0</v>
      </c>
      <c r="U7" s="3">
        <v>0.0</v>
      </c>
      <c r="V7" s="3">
        <v>0.0</v>
      </c>
      <c r="W7" s="3">
        <v>1.0</v>
      </c>
      <c r="X7" s="3">
        <v>1.0</v>
      </c>
      <c r="Y7" s="3">
        <v>100.0</v>
      </c>
      <c r="Z7" s="3">
        <v>17.0</v>
      </c>
      <c r="AA7" s="3">
        <v>8.0</v>
      </c>
      <c r="AB7" s="3">
        <v>47.06</v>
      </c>
      <c r="AC7" s="3">
        <v>49.0</v>
      </c>
      <c r="AD7" s="3">
        <v>19.0</v>
      </c>
      <c r="AE7" s="3">
        <v>38.78</v>
      </c>
      <c r="AF7" s="3">
        <v>0.0</v>
      </c>
    </row>
    <row r="8" ht="12.0" customHeight="1">
      <c r="A8" s="3" t="s">
        <v>45</v>
      </c>
      <c r="B8" s="3" t="s">
        <v>46</v>
      </c>
      <c r="C8" s="3" t="s">
        <v>36</v>
      </c>
      <c r="D8" s="3">
        <v>97.0</v>
      </c>
      <c r="E8" s="3" t="s">
        <v>32</v>
      </c>
      <c r="F8" s="3" t="s">
        <v>42</v>
      </c>
      <c r="G8" s="3">
        <v>0.45</v>
      </c>
      <c r="H8" s="3">
        <v>7.0</v>
      </c>
      <c r="I8" s="3">
        <v>2.0</v>
      </c>
      <c r="J8" s="3">
        <v>28.57</v>
      </c>
      <c r="K8" s="3">
        <v>27.0</v>
      </c>
      <c r="L8" s="3">
        <v>5.0</v>
      </c>
      <c r="M8" s="3">
        <v>18.52</v>
      </c>
      <c r="N8" s="3">
        <v>0.0</v>
      </c>
      <c r="O8" s="3">
        <v>0.0</v>
      </c>
      <c r="P8" s="3">
        <v>0.0</v>
      </c>
      <c r="Q8" s="3">
        <v>2.0</v>
      </c>
      <c r="R8" s="3">
        <v>0.0</v>
      </c>
      <c r="S8" s="3">
        <v>0.0</v>
      </c>
      <c r="T8" s="3">
        <v>5.0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12.0</v>
      </c>
      <c r="AA8" s="3">
        <v>1.0</v>
      </c>
      <c r="AB8" s="3">
        <v>8.33</v>
      </c>
      <c r="AC8" s="3">
        <v>82.0</v>
      </c>
      <c r="AD8" s="3">
        <v>33.0</v>
      </c>
      <c r="AE8" s="3">
        <v>40.24</v>
      </c>
      <c r="AF8" s="3">
        <v>1.0</v>
      </c>
    </row>
    <row r="9" ht="12.0" customHeight="1">
      <c r="E9" s="3" t="s">
        <v>47</v>
      </c>
      <c r="F9" s="3" t="s">
        <v>48</v>
      </c>
      <c r="G9" s="3">
        <v>0.91</v>
      </c>
      <c r="H9" s="3">
        <v>7.0</v>
      </c>
      <c r="I9" s="3">
        <v>5.0</v>
      </c>
      <c r="J9" s="3">
        <v>71.43</v>
      </c>
      <c r="K9" s="3">
        <v>27.0</v>
      </c>
      <c r="L9" s="3">
        <v>3.0</v>
      </c>
      <c r="M9" s="3">
        <v>11.11</v>
      </c>
      <c r="N9" s="3">
        <v>0.0</v>
      </c>
      <c r="O9" s="3">
        <v>0.0</v>
      </c>
      <c r="P9" s="3">
        <v>0.0</v>
      </c>
      <c r="Q9" s="3">
        <v>7.0</v>
      </c>
      <c r="R9" s="3">
        <v>1.0</v>
      </c>
      <c r="S9" s="3">
        <v>14.29</v>
      </c>
      <c r="T9" s="3">
        <v>2.0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19.0</v>
      </c>
      <c r="AA9" s="3">
        <v>7.0</v>
      </c>
      <c r="AB9" s="3">
        <v>36.84</v>
      </c>
      <c r="AC9" s="3">
        <v>75.0</v>
      </c>
      <c r="AD9" s="3">
        <v>21.0</v>
      </c>
      <c r="AE9" s="3">
        <v>28.0</v>
      </c>
      <c r="AF9" s="3">
        <v>0.0</v>
      </c>
    </row>
    <row r="10" ht="12.0" customHeight="1">
      <c r="A10" s="3" t="s">
        <v>49</v>
      </c>
      <c r="B10" s="3" t="s">
        <v>50</v>
      </c>
      <c r="C10" s="3" t="s">
        <v>36</v>
      </c>
      <c r="D10" s="3">
        <v>101.0</v>
      </c>
      <c r="E10" s="3" t="s">
        <v>32</v>
      </c>
      <c r="F10" s="3" t="s">
        <v>42</v>
      </c>
      <c r="G10" s="3">
        <v>1.32</v>
      </c>
      <c r="H10" s="3">
        <v>12.0</v>
      </c>
      <c r="I10" s="3">
        <v>5.0</v>
      </c>
      <c r="J10" s="3">
        <v>41.67</v>
      </c>
      <c r="K10" s="3">
        <v>28.0</v>
      </c>
      <c r="L10" s="3">
        <v>9.0</v>
      </c>
      <c r="M10" s="3">
        <v>32.14</v>
      </c>
      <c r="N10" s="3">
        <v>0.0</v>
      </c>
      <c r="O10" s="3">
        <v>0.0</v>
      </c>
      <c r="P10" s="3">
        <v>0.0</v>
      </c>
      <c r="Q10" s="3">
        <v>6.0</v>
      </c>
      <c r="R10" s="3">
        <v>2.0</v>
      </c>
      <c r="S10" s="3">
        <v>33.33</v>
      </c>
      <c r="T10" s="3">
        <v>1.0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14.0</v>
      </c>
      <c r="AA10" s="3">
        <v>4.0</v>
      </c>
      <c r="AB10" s="3">
        <v>28.57</v>
      </c>
      <c r="AC10" s="3">
        <v>68.0</v>
      </c>
      <c r="AD10" s="3">
        <v>14.0</v>
      </c>
      <c r="AE10" s="3">
        <v>20.59</v>
      </c>
      <c r="AF10" s="3">
        <v>4.0</v>
      </c>
    </row>
    <row r="11" ht="12.0" customHeight="1">
      <c r="E11" s="3" t="s">
        <v>51</v>
      </c>
      <c r="F11" s="3" t="s">
        <v>39</v>
      </c>
      <c r="G11" s="3">
        <v>1.76</v>
      </c>
      <c r="H11" s="3">
        <v>11.0</v>
      </c>
      <c r="I11" s="3">
        <v>7.0</v>
      </c>
      <c r="J11" s="3">
        <v>63.64</v>
      </c>
      <c r="K11" s="3">
        <v>35.0</v>
      </c>
      <c r="L11" s="3">
        <v>3.0</v>
      </c>
      <c r="M11" s="3">
        <v>8.57</v>
      </c>
      <c r="N11" s="3">
        <v>0.0</v>
      </c>
      <c r="O11" s="3">
        <v>0.0</v>
      </c>
      <c r="P11" s="3">
        <v>0.0</v>
      </c>
      <c r="Q11" s="3">
        <v>5.0</v>
      </c>
      <c r="R11" s="3">
        <v>3.0</v>
      </c>
      <c r="S11" s="3">
        <v>60.0</v>
      </c>
      <c r="T11" s="3">
        <v>3.0</v>
      </c>
      <c r="U11" s="3">
        <v>1.0</v>
      </c>
      <c r="V11" s="3">
        <v>33.33</v>
      </c>
      <c r="W11" s="3">
        <v>1.0</v>
      </c>
      <c r="X11" s="3">
        <v>0.0</v>
      </c>
      <c r="Y11" s="3">
        <v>0.0</v>
      </c>
      <c r="Z11" s="3">
        <v>23.0</v>
      </c>
      <c r="AA11" s="3">
        <v>5.0</v>
      </c>
      <c r="AB11" s="3">
        <v>21.74</v>
      </c>
      <c r="AC11" s="3">
        <v>61.0</v>
      </c>
      <c r="AD11" s="3">
        <v>17.0</v>
      </c>
      <c r="AE11" s="3">
        <v>27.87</v>
      </c>
      <c r="AF11" s="3">
        <v>2.0</v>
      </c>
    </row>
    <row r="12" ht="12.0" customHeight="1">
      <c r="A12" s="3" t="s">
        <v>52</v>
      </c>
      <c r="B12" s="3" t="s">
        <v>53</v>
      </c>
      <c r="C12" s="3" t="s">
        <v>36</v>
      </c>
      <c r="D12" s="3">
        <v>101.0</v>
      </c>
      <c r="E12" s="3" t="s">
        <v>32</v>
      </c>
      <c r="F12" s="3" t="s">
        <v>42</v>
      </c>
      <c r="G12" s="3">
        <v>3.8</v>
      </c>
      <c r="H12" s="3">
        <v>19.0</v>
      </c>
      <c r="I12" s="3">
        <v>9.0</v>
      </c>
      <c r="J12" s="3">
        <v>47.37</v>
      </c>
      <c r="K12" s="3">
        <v>24.0</v>
      </c>
      <c r="L12" s="3">
        <v>10.0</v>
      </c>
      <c r="M12" s="3">
        <v>41.67</v>
      </c>
      <c r="N12" s="3">
        <v>0.0</v>
      </c>
      <c r="O12" s="3">
        <v>0.0</v>
      </c>
      <c r="P12" s="3">
        <v>0.0</v>
      </c>
      <c r="Q12" s="3">
        <v>3.0</v>
      </c>
      <c r="R12" s="3">
        <v>0.0</v>
      </c>
      <c r="S12" s="3">
        <v>0.0</v>
      </c>
      <c r="T12" s="3">
        <v>5.0</v>
      </c>
      <c r="U12" s="3">
        <v>5.0</v>
      </c>
      <c r="V12" s="3">
        <v>100.0</v>
      </c>
      <c r="W12" s="3">
        <v>0.0</v>
      </c>
      <c r="X12" s="3">
        <v>0.0</v>
      </c>
      <c r="Y12" s="3">
        <v>0.0</v>
      </c>
      <c r="Z12" s="3">
        <v>14.0</v>
      </c>
      <c r="AA12" s="3">
        <v>7.0</v>
      </c>
      <c r="AB12" s="3">
        <v>50.0</v>
      </c>
      <c r="AC12" s="3">
        <v>66.0</v>
      </c>
      <c r="AD12" s="3">
        <v>30.0</v>
      </c>
      <c r="AE12" s="3">
        <v>45.45</v>
      </c>
      <c r="AF12" s="3">
        <v>0.0</v>
      </c>
    </row>
    <row r="13" ht="12.0" customHeight="1">
      <c r="E13" s="3" t="s">
        <v>54</v>
      </c>
      <c r="F13" s="3" t="s">
        <v>55</v>
      </c>
      <c r="G13" s="3">
        <v>2.01</v>
      </c>
      <c r="H13" s="3">
        <v>11.0</v>
      </c>
      <c r="I13" s="3">
        <v>1.0</v>
      </c>
      <c r="J13" s="3">
        <v>9.09</v>
      </c>
      <c r="K13" s="3">
        <v>26.0</v>
      </c>
      <c r="L13" s="3">
        <v>7.0</v>
      </c>
      <c r="M13" s="3">
        <v>26.92</v>
      </c>
      <c r="N13" s="3">
        <v>0.0</v>
      </c>
      <c r="O13" s="3">
        <v>0.0</v>
      </c>
      <c r="P13" s="3">
        <v>0.0</v>
      </c>
      <c r="Q13" s="3">
        <v>3.0</v>
      </c>
      <c r="R13" s="3">
        <v>1.0</v>
      </c>
      <c r="S13" s="3">
        <v>33.33</v>
      </c>
      <c r="T13" s="3">
        <v>2.0</v>
      </c>
      <c r="U13" s="3">
        <v>1.0</v>
      </c>
      <c r="V13" s="3">
        <v>50.0</v>
      </c>
      <c r="W13" s="3">
        <v>0.0</v>
      </c>
      <c r="X13" s="3">
        <v>0.0</v>
      </c>
      <c r="Y13" s="3">
        <v>0.0</v>
      </c>
      <c r="Z13" s="3">
        <v>21.0</v>
      </c>
      <c r="AA13" s="3">
        <v>11.0</v>
      </c>
      <c r="AB13" s="3">
        <v>52.38</v>
      </c>
      <c r="AC13" s="3">
        <v>60.0</v>
      </c>
      <c r="AD13" s="3">
        <v>27.0</v>
      </c>
      <c r="AE13" s="3">
        <v>45.0</v>
      </c>
      <c r="AF13" s="3">
        <v>0.0</v>
      </c>
    </row>
    <row r="14" ht="12.0" customHeight="1">
      <c r="A14" s="3" t="s">
        <v>56</v>
      </c>
      <c r="B14" s="3" t="s">
        <v>57</v>
      </c>
      <c r="C14" s="3" t="s">
        <v>36</v>
      </c>
      <c r="D14" s="3">
        <v>105.0</v>
      </c>
      <c r="E14" s="3" t="s">
        <v>32</v>
      </c>
      <c r="F14" s="3" t="s">
        <v>42</v>
      </c>
      <c r="G14" s="3">
        <v>0.91</v>
      </c>
      <c r="H14" s="3">
        <v>15.0</v>
      </c>
      <c r="I14" s="3">
        <v>4.0</v>
      </c>
      <c r="J14" s="3">
        <v>26.67</v>
      </c>
      <c r="K14" s="3">
        <v>39.0</v>
      </c>
      <c r="L14" s="3">
        <v>12.0</v>
      </c>
      <c r="M14" s="3">
        <v>30.77</v>
      </c>
      <c r="N14" s="3">
        <v>0.0</v>
      </c>
      <c r="O14" s="3">
        <v>0.0</v>
      </c>
      <c r="P14" s="3">
        <v>0.0</v>
      </c>
      <c r="Q14" s="3">
        <v>3.0</v>
      </c>
      <c r="R14" s="3">
        <v>0.0</v>
      </c>
      <c r="S14" s="3">
        <v>0.0</v>
      </c>
      <c r="T14" s="3">
        <v>4.0</v>
      </c>
      <c r="U14" s="3">
        <v>1.0</v>
      </c>
      <c r="V14" s="3">
        <v>25.0</v>
      </c>
      <c r="W14" s="3">
        <v>0.0</v>
      </c>
      <c r="X14" s="3">
        <v>0.0</v>
      </c>
      <c r="Y14" s="3">
        <v>0.0</v>
      </c>
      <c r="Z14" s="3">
        <v>16.0</v>
      </c>
      <c r="AA14" s="3">
        <v>2.0</v>
      </c>
      <c r="AB14" s="3">
        <v>12.5</v>
      </c>
      <c r="AC14" s="3">
        <v>94.0</v>
      </c>
      <c r="AD14" s="3">
        <v>31.0</v>
      </c>
      <c r="AE14" s="3">
        <v>32.98</v>
      </c>
      <c r="AF14" s="3">
        <v>1.0</v>
      </c>
    </row>
    <row r="15" ht="12.0" customHeight="1">
      <c r="E15" s="3" t="s">
        <v>58</v>
      </c>
      <c r="F15" s="3" t="s">
        <v>42</v>
      </c>
      <c r="G15" s="3">
        <v>0.48</v>
      </c>
      <c r="H15" s="3">
        <v>7.0</v>
      </c>
      <c r="I15" s="3">
        <v>1.0</v>
      </c>
      <c r="J15" s="3">
        <v>14.29</v>
      </c>
      <c r="K15" s="3">
        <v>20.0</v>
      </c>
      <c r="L15" s="3">
        <v>1.0</v>
      </c>
      <c r="M15" s="3">
        <v>5.0</v>
      </c>
      <c r="N15" s="3">
        <v>2.0</v>
      </c>
      <c r="O15" s="3">
        <v>2.0</v>
      </c>
      <c r="P15" s="3">
        <v>100.0</v>
      </c>
      <c r="Q15" s="3">
        <v>3.0</v>
      </c>
      <c r="R15" s="3">
        <v>3.0</v>
      </c>
      <c r="S15" s="3">
        <v>100.0</v>
      </c>
      <c r="T15" s="3">
        <v>2.0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11.0</v>
      </c>
      <c r="AA15" s="3">
        <v>1.0</v>
      </c>
      <c r="AB15" s="3">
        <v>9.09</v>
      </c>
      <c r="AC15" s="3">
        <v>42.0</v>
      </c>
      <c r="AD15" s="3">
        <v>21.0</v>
      </c>
      <c r="AE15" s="3">
        <v>50.0</v>
      </c>
      <c r="AF15" s="3">
        <v>1.0</v>
      </c>
    </row>
    <row r="16" ht="12.0" customHeight="1">
      <c r="A16" s="3" t="s">
        <v>59</v>
      </c>
      <c r="B16" s="3" t="s">
        <v>60</v>
      </c>
      <c r="C16" s="3" t="s">
        <v>36</v>
      </c>
      <c r="D16" s="3">
        <v>107.0</v>
      </c>
      <c r="E16" s="3" t="s">
        <v>32</v>
      </c>
      <c r="F16" s="3" t="s">
        <v>42</v>
      </c>
      <c r="G16" s="3">
        <v>1.39</v>
      </c>
      <c r="H16" s="3">
        <v>20.0</v>
      </c>
      <c r="I16" s="3">
        <v>2.0</v>
      </c>
      <c r="J16" s="3">
        <v>10.0</v>
      </c>
      <c r="K16" s="3">
        <v>48.0</v>
      </c>
      <c r="L16" s="3">
        <v>14.0</v>
      </c>
      <c r="M16" s="3">
        <v>29.17</v>
      </c>
      <c r="N16" s="3">
        <v>0.0</v>
      </c>
      <c r="O16" s="3">
        <v>0.0</v>
      </c>
      <c r="P16" s="3">
        <v>0.0</v>
      </c>
      <c r="Q16" s="3">
        <v>11.0</v>
      </c>
      <c r="R16" s="3">
        <v>5.0</v>
      </c>
      <c r="S16" s="3">
        <v>45.45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36.0</v>
      </c>
      <c r="AA16" s="3">
        <v>15.0</v>
      </c>
      <c r="AB16" s="3">
        <v>41.67</v>
      </c>
      <c r="AC16" s="3">
        <v>73.0</v>
      </c>
      <c r="AD16" s="3">
        <v>23.0</v>
      </c>
      <c r="AE16" s="3">
        <v>31.51</v>
      </c>
      <c r="AF16" s="3">
        <v>2.0</v>
      </c>
    </row>
    <row r="17" ht="12.0" customHeight="1">
      <c r="E17" s="3" t="s">
        <v>61</v>
      </c>
      <c r="F17" s="3" t="s">
        <v>62</v>
      </c>
      <c r="G17" s="3">
        <v>0.5</v>
      </c>
      <c r="H17" s="3">
        <v>6.0</v>
      </c>
      <c r="I17" s="3">
        <v>2.0</v>
      </c>
      <c r="J17" s="3">
        <v>33.33</v>
      </c>
      <c r="K17" s="3">
        <v>29.0</v>
      </c>
      <c r="L17" s="3">
        <v>5.0</v>
      </c>
      <c r="M17" s="3">
        <v>17.24</v>
      </c>
      <c r="N17" s="3">
        <v>0.0</v>
      </c>
      <c r="O17" s="3">
        <v>0.0</v>
      </c>
      <c r="P17" s="3">
        <v>0.0</v>
      </c>
      <c r="Q17" s="3">
        <v>1.0</v>
      </c>
      <c r="R17" s="3">
        <v>0.0</v>
      </c>
      <c r="S17" s="3">
        <v>0.0</v>
      </c>
      <c r="T17" s="3">
        <v>1.0</v>
      </c>
      <c r="U17" s="3">
        <v>1.0</v>
      </c>
      <c r="V17" s="3">
        <v>100.0</v>
      </c>
      <c r="W17" s="3">
        <v>0.0</v>
      </c>
      <c r="X17" s="3">
        <v>0.0</v>
      </c>
      <c r="Y17" s="3">
        <v>0.0</v>
      </c>
      <c r="Z17" s="3">
        <v>9.0</v>
      </c>
      <c r="AA17" s="3">
        <v>2.0</v>
      </c>
      <c r="AB17" s="3">
        <v>22.22</v>
      </c>
      <c r="AC17" s="3">
        <v>49.0</v>
      </c>
      <c r="AD17" s="3">
        <v>15.0</v>
      </c>
      <c r="AE17" s="3">
        <v>30.61</v>
      </c>
      <c r="AF17" s="3">
        <v>3.0</v>
      </c>
    </row>
    <row r="18" ht="12.0" customHeight="1">
      <c r="A18" s="3" t="s">
        <v>63</v>
      </c>
      <c r="B18" s="3" t="s">
        <v>64</v>
      </c>
      <c r="C18" s="3" t="s">
        <v>36</v>
      </c>
      <c r="D18" s="3">
        <v>102.0</v>
      </c>
      <c r="E18" s="3" t="s">
        <v>32</v>
      </c>
      <c r="F18" s="3" t="s">
        <v>37</v>
      </c>
      <c r="G18" s="3">
        <v>2.26</v>
      </c>
      <c r="H18" s="3">
        <v>26.0</v>
      </c>
      <c r="I18" s="3">
        <v>8.0</v>
      </c>
      <c r="J18" s="3">
        <v>30.77</v>
      </c>
      <c r="K18" s="3">
        <v>31.0</v>
      </c>
      <c r="L18" s="3">
        <v>18.0</v>
      </c>
      <c r="M18" s="3">
        <v>58.06</v>
      </c>
      <c r="N18" s="3">
        <v>1.0</v>
      </c>
      <c r="O18" s="3">
        <v>1.0</v>
      </c>
      <c r="P18" s="3">
        <v>100.0</v>
      </c>
      <c r="Q18" s="3">
        <v>4.0</v>
      </c>
      <c r="R18" s="3">
        <v>2.0</v>
      </c>
      <c r="S18" s="3">
        <v>50.0</v>
      </c>
      <c r="T18" s="3">
        <v>5.0</v>
      </c>
      <c r="U18" s="3">
        <v>1.0</v>
      </c>
      <c r="V18" s="3">
        <v>20.0</v>
      </c>
      <c r="W18" s="3">
        <v>1.0</v>
      </c>
      <c r="X18" s="3">
        <v>1.0</v>
      </c>
      <c r="Y18" s="3">
        <v>100.0</v>
      </c>
      <c r="Z18" s="3">
        <v>20.0</v>
      </c>
      <c r="AA18" s="3">
        <v>15.0</v>
      </c>
      <c r="AB18" s="3">
        <v>75.0</v>
      </c>
      <c r="AC18" s="3">
        <v>55.0</v>
      </c>
      <c r="AD18" s="3">
        <v>29.0</v>
      </c>
      <c r="AE18" s="3">
        <v>52.73</v>
      </c>
      <c r="AF18" s="3">
        <v>1.0</v>
      </c>
    </row>
    <row r="19" ht="12.0" customHeight="1">
      <c r="E19" s="3" t="s">
        <v>65</v>
      </c>
      <c r="F19" s="3" t="s">
        <v>44</v>
      </c>
      <c r="G19" s="3">
        <v>1.31</v>
      </c>
      <c r="H19" s="3">
        <v>12.0</v>
      </c>
      <c r="I19" s="3">
        <v>6.0</v>
      </c>
      <c r="J19" s="3">
        <v>50.0</v>
      </c>
      <c r="K19" s="3">
        <v>31.0</v>
      </c>
      <c r="L19" s="3">
        <v>11.0</v>
      </c>
      <c r="M19" s="3">
        <v>35.48</v>
      </c>
      <c r="N19" s="3">
        <v>0.0</v>
      </c>
      <c r="O19" s="3">
        <v>0.0</v>
      </c>
      <c r="P19" s="3">
        <v>0.0</v>
      </c>
      <c r="Q19" s="3">
        <v>2.0</v>
      </c>
      <c r="R19" s="3">
        <v>2.0</v>
      </c>
      <c r="S19" s="3">
        <v>100.0</v>
      </c>
      <c r="T19" s="3">
        <v>1.0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17.0</v>
      </c>
      <c r="AA19" s="3">
        <v>6.0</v>
      </c>
      <c r="AB19" s="3">
        <v>35.29</v>
      </c>
      <c r="AC19" s="3">
        <v>43.0</v>
      </c>
      <c r="AD19" s="3">
        <v>18.0</v>
      </c>
      <c r="AE19" s="3">
        <v>41.86</v>
      </c>
      <c r="AF19" s="3">
        <v>1.0</v>
      </c>
    </row>
    <row r="20" ht="12.0" customHeight="1">
      <c r="A20" s="3" t="s">
        <v>66</v>
      </c>
      <c r="B20" s="3" t="s">
        <v>67</v>
      </c>
      <c r="C20" s="3" t="s">
        <v>36</v>
      </c>
      <c r="D20" s="3">
        <v>106.0</v>
      </c>
      <c r="E20" s="3" t="s">
        <v>32</v>
      </c>
      <c r="F20" s="3" t="s">
        <v>68</v>
      </c>
      <c r="G20" s="3">
        <v>2.08</v>
      </c>
      <c r="H20" s="3">
        <v>13.0</v>
      </c>
      <c r="I20" s="3">
        <v>4.0</v>
      </c>
      <c r="J20" s="3">
        <v>30.77</v>
      </c>
      <c r="K20" s="3">
        <v>24.0</v>
      </c>
      <c r="L20" s="3">
        <v>9.0</v>
      </c>
      <c r="M20" s="3">
        <v>37.5</v>
      </c>
      <c r="N20" s="3">
        <v>1.0</v>
      </c>
      <c r="O20" s="3">
        <v>1.0</v>
      </c>
      <c r="P20" s="3">
        <v>100.0</v>
      </c>
      <c r="Q20" s="3">
        <v>2.0</v>
      </c>
      <c r="R20" s="3">
        <v>1.0</v>
      </c>
      <c r="S20" s="3">
        <v>50.0</v>
      </c>
      <c r="T20" s="3">
        <v>6.0</v>
      </c>
      <c r="U20" s="3">
        <v>2.0</v>
      </c>
      <c r="V20" s="3">
        <v>33.33</v>
      </c>
      <c r="W20" s="3">
        <v>0.0</v>
      </c>
      <c r="X20" s="3">
        <v>0.0</v>
      </c>
      <c r="Y20" s="3">
        <v>0.0</v>
      </c>
      <c r="Z20" s="3">
        <v>4.0</v>
      </c>
      <c r="AA20" s="3">
        <v>1.0</v>
      </c>
      <c r="AB20" s="3">
        <v>25.0</v>
      </c>
      <c r="AC20" s="3">
        <v>53.0</v>
      </c>
      <c r="AD20" s="3">
        <v>18.0</v>
      </c>
      <c r="AE20" s="3">
        <v>33.96</v>
      </c>
      <c r="AF20" s="3">
        <v>2.0</v>
      </c>
    </row>
    <row r="21" ht="12.0" customHeight="1">
      <c r="E21" s="3" t="s">
        <v>69</v>
      </c>
      <c r="F21" s="3" t="s">
        <v>70</v>
      </c>
      <c r="G21" s="3">
        <v>2.04</v>
      </c>
      <c r="H21" s="3">
        <v>17.0</v>
      </c>
      <c r="I21" s="3">
        <v>9.0</v>
      </c>
      <c r="J21" s="3">
        <v>52.94</v>
      </c>
      <c r="K21" s="3">
        <v>38.0</v>
      </c>
      <c r="L21" s="3">
        <v>10.0</v>
      </c>
      <c r="M21" s="3">
        <v>26.32</v>
      </c>
      <c r="N21" s="3">
        <v>0.0</v>
      </c>
      <c r="O21" s="3">
        <v>0.0</v>
      </c>
      <c r="P21" s="3">
        <v>0.0</v>
      </c>
      <c r="Q21" s="3">
        <v>4.0</v>
      </c>
      <c r="R21" s="3">
        <v>1.0</v>
      </c>
      <c r="S21" s="3">
        <v>25.0</v>
      </c>
      <c r="T21" s="3">
        <v>2.0</v>
      </c>
      <c r="U21" s="3">
        <v>1.0</v>
      </c>
      <c r="V21" s="3">
        <v>50.0</v>
      </c>
      <c r="W21" s="3">
        <v>0.0</v>
      </c>
      <c r="X21" s="3">
        <v>0.0</v>
      </c>
      <c r="Y21" s="3">
        <v>0.0</v>
      </c>
      <c r="Z21" s="3">
        <v>17.0</v>
      </c>
      <c r="AA21" s="3">
        <v>4.0</v>
      </c>
      <c r="AB21" s="3">
        <v>23.53</v>
      </c>
      <c r="AC21" s="3">
        <v>75.0</v>
      </c>
      <c r="AD21" s="3">
        <v>28.0</v>
      </c>
      <c r="AE21" s="3">
        <v>37.33</v>
      </c>
      <c r="AF21" s="3">
        <v>0.0</v>
      </c>
    </row>
    <row r="22" ht="12.0" customHeight="1">
      <c r="A22" s="3" t="s">
        <v>71</v>
      </c>
      <c r="B22" s="3" t="s">
        <v>72</v>
      </c>
      <c r="C22" s="3" t="s">
        <v>36</v>
      </c>
      <c r="D22" s="3">
        <v>102.0</v>
      </c>
      <c r="E22" s="3" t="s">
        <v>32</v>
      </c>
      <c r="F22" s="3" t="s">
        <v>42</v>
      </c>
      <c r="G22" s="3">
        <v>1.0</v>
      </c>
      <c r="H22" s="3">
        <v>12.0</v>
      </c>
      <c r="I22" s="3">
        <v>3.0</v>
      </c>
      <c r="J22" s="3">
        <v>25.0</v>
      </c>
      <c r="K22" s="3">
        <v>22.0</v>
      </c>
      <c r="L22" s="3">
        <v>8.0</v>
      </c>
      <c r="M22" s="3">
        <v>36.36</v>
      </c>
      <c r="N22" s="3">
        <v>3.0</v>
      </c>
      <c r="O22" s="3">
        <v>2.0</v>
      </c>
      <c r="P22" s="3">
        <v>66.67</v>
      </c>
      <c r="Q22" s="3">
        <v>3.0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13.0</v>
      </c>
      <c r="AA22" s="3">
        <v>2.0</v>
      </c>
      <c r="AB22" s="3">
        <v>15.38</v>
      </c>
      <c r="AC22" s="3">
        <v>83.0</v>
      </c>
      <c r="AD22" s="3">
        <v>29.0</v>
      </c>
      <c r="AE22" s="3">
        <v>34.94</v>
      </c>
      <c r="AF22" s="3">
        <v>2.0</v>
      </c>
    </row>
    <row r="23" ht="12.0" customHeight="1">
      <c r="E23" s="3" t="s">
        <v>73</v>
      </c>
      <c r="F23" s="3" t="s">
        <v>74</v>
      </c>
      <c r="G23" s="3">
        <v>1.2</v>
      </c>
      <c r="H23" s="3">
        <v>17.0</v>
      </c>
      <c r="I23" s="3">
        <v>6.0</v>
      </c>
      <c r="J23" s="3">
        <v>35.29</v>
      </c>
      <c r="K23" s="3">
        <v>40.0</v>
      </c>
      <c r="L23" s="3">
        <v>13.0</v>
      </c>
      <c r="M23" s="3">
        <v>32.5</v>
      </c>
      <c r="N23" s="3">
        <v>0.0</v>
      </c>
      <c r="O23" s="3">
        <v>0.0</v>
      </c>
      <c r="P23" s="3">
        <v>0.0</v>
      </c>
      <c r="Q23" s="3">
        <v>5.0</v>
      </c>
      <c r="R23" s="3">
        <v>2.0</v>
      </c>
      <c r="S23" s="3">
        <v>40.0</v>
      </c>
      <c r="T23" s="3">
        <v>6.0</v>
      </c>
      <c r="U23" s="3">
        <v>2.0</v>
      </c>
      <c r="V23" s="3">
        <v>33.33</v>
      </c>
      <c r="W23" s="3">
        <v>0.0</v>
      </c>
      <c r="X23" s="3">
        <v>0.0</v>
      </c>
      <c r="Y23" s="3">
        <v>0.0</v>
      </c>
      <c r="Z23" s="3">
        <v>13.0</v>
      </c>
      <c r="AA23" s="3">
        <v>4.0</v>
      </c>
      <c r="AB23" s="3">
        <v>30.77</v>
      </c>
      <c r="AC23" s="3">
        <v>46.0</v>
      </c>
      <c r="AD23" s="3">
        <v>19.0</v>
      </c>
      <c r="AE23" s="3">
        <v>41.3</v>
      </c>
      <c r="AF23" s="3">
        <v>0.0</v>
      </c>
    </row>
    <row r="24" ht="12.0" customHeight="1">
      <c r="A24" s="3" t="s">
        <v>75</v>
      </c>
      <c r="B24" s="3" t="s">
        <v>76</v>
      </c>
      <c r="C24" s="3" t="s">
        <v>36</v>
      </c>
      <c r="D24" s="3">
        <v>107.0</v>
      </c>
      <c r="E24" s="3" t="s">
        <v>32</v>
      </c>
      <c r="F24" s="3" t="s">
        <v>42</v>
      </c>
      <c r="G24" s="3">
        <v>0.63</v>
      </c>
      <c r="H24" s="3">
        <v>6.0</v>
      </c>
      <c r="I24" s="3">
        <v>3.0</v>
      </c>
      <c r="J24" s="3">
        <v>50.0</v>
      </c>
      <c r="K24" s="3">
        <v>27.0</v>
      </c>
      <c r="L24" s="3">
        <v>3.0</v>
      </c>
      <c r="M24" s="3">
        <v>11.11</v>
      </c>
      <c r="N24" s="3">
        <v>2.0</v>
      </c>
      <c r="O24" s="3">
        <v>2.0</v>
      </c>
      <c r="P24" s="3">
        <v>100.0</v>
      </c>
      <c r="Q24" s="3">
        <v>0.0</v>
      </c>
      <c r="R24" s="3">
        <v>0.0</v>
      </c>
      <c r="S24" s="3">
        <v>0.0</v>
      </c>
      <c r="T24" s="3">
        <v>1.0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12.0</v>
      </c>
      <c r="AA24" s="3">
        <v>3.0</v>
      </c>
      <c r="AB24" s="3">
        <v>25.0</v>
      </c>
      <c r="AC24" s="3">
        <v>70.0</v>
      </c>
      <c r="AD24" s="3">
        <v>31.0</v>
      </c>
      <c r="AE24" s="3">
        <v>44.29</v>
      </c>
      <c r="AF24" s="3">
        <v>2.0</v>
      </c>
    </row>
    <row r="25" ht="12.0" customHeight="1">
      <c r="E25" s="3" t="s">
        <v>77</v>
      </c>
      <c r="F25" s="3" t="s">
        <v>78</v>
      </c>
      <c r="G25" s="3">
        <v>0.38</v>
      </c>
      <c r="H25" s="3">
        <v>10.0</v>
      </c>
      <c r="I25" s="3">
        <v>1.0</v>
      </c>
      <c r="J25" s="3">
        <v>10.0</v>
      </c>
      <c r="K25" s="3">
        <v>28.0</v>
      </c>
      <c r="L25" s="3">
        <v>7.0</v>
      </c>
      <c r="M25" s="3">
        <v>25.0</v>
      </c>
      <c r="N25" s="3">
        <v>0.0</v>
      </c>
      <c r="O25" s="3">
        <v>0.0</v>
      </c>
      <c r="P25" s="3">
        <v>0.0</v>
      </c>
      <c r="Q25" s="3">
        <v>6.0</v>
      </c>
      <c r="R25" s="3">
        <v>1.0</v>
      </c>
      <c r="S25" s="3">
        <v>16.67</v>
      </c>
      <c r="T25" s="3">
        <v>2.0</v>
      </c>
      <c r="U25" s="3">
        <v>1.0</v>
      </c>
      <c r="V25" s="3">
        <v>50.0</v>
      </c>
      <c r="W25" s="3">
        <v>0.0</v>
      </c>
      <c r="X25" s="3">
        <v>0.0</v>
      </c>
      <c r="Y25" s="3">
        <v>0.0</v>
      </c>
      <c r="Z25" s="3">
        <v>18.0</v>
      </c>
      <c r="AA25" s="3">
        <v>4.0</v>
      </c>
      <c r="AB25" s="3">
        <v>22.22</v>
      </c>
      <c r="AC25" s="3">
        <v>89.0</v>
      </c>
      <c r="AD25" s="3">
        <v>26.0</v>
      </c>
      <c r="AE25" s="3">
        <v>29.21</v>
      </c>
      <c r="AF25" s="3">
        <v>4.0</v>
      </c>
    </row>
    <row r="26" ht="12.0" customHeight="1">
      <c r="A26" s="3" t="s">
        <v>79</v>
      </c>
      <c r="B26" s="3" t="s">
        <v>80</v>
      </c>
      <c r="C26" s="3" t="s">
        <v>36</v>
      </c>
      <c r="D26" s="3">
        <v>98.0</v>
      </c>
      <c r="E26" s="3" t="s">
        <v>32</v>
      </c>
      <c r="F26" s="3" t="s">
        <v>39</v>
      </c>
      <c r="G26" s="3">
        <v>2.56</v>
      </c>
      <c r="H26" s="3">
        <v>20.0</v>
      </c>
      <c r="I26" s="3">
        <v>7.0</v>
      </c>
      <c r="J26" s="3">
        <v>35.0</v>
      </c>
      <c r="K26" s="3">
        <v>45.0</v>
      </c>
      <c r="L26" s="3">
        <v>16.0</v>
      </c>
      <c r="M26" s="3">
        <v>35.56</v>
      </c>
      <c r="N26" s="3">
        <v>0.0</v>
      </c>
      <c r="O26" s="3">
        <v>0.0</v>
      </c>
      <c r="P26" s="3">
        <v>0.0</v>
      </c>
      <c r="Q26" s="3">
        <v>7.0</v>
      </c>
      <c r="R26" s="3">
        <v>2.0</v>
      </c>
      <c r="S26" s="3">
        <v>28.57</v>
      </c>
      <c r="T26" s="3">
        <v>4.0</v>
      </c>
      <c r="U26" s="3">
        <v>1.0</v>
      </c>
      <c r="V26" s="3">
        <v>25.0</v>
      </c>
      <c r="W26" s="3">
        <v>0.0</v>
      </c>
      <c r="X26" s="3">
        <v>0.0</v>
      </c>
      <c r="Y26" s="3">
        <v>0.0</v>
      </c>
      <c r="Z26" s="3">
        <v>35.0</v>
      </c>
      <c r="AA26" s="3">
        <v>10.0</v>
      </c>
      <c r="AB26" s="3">
        <v>28.57</v>
      </c>
      <c r="AC26" s="3">
        <v>99.0</v>
      </c>
      <c r="AD26" s="3">
        <v>37.0</v>
      </c>
      <c r="AE26" s="3">
        <v>37.37</v>
      </c>
      <c r="AF26" s="3">
        <v>0.0</v>
      </c>
    </row>
    <row r="27" ht="12.0" customHeight="1">
      <c r="E27" s="3" t="s">
        <v>81</v>
      </c>
      <c r="F27" s="3" t="s">
        <v>37</v>
      </c>
      <c r="G27" s="3">
        <v>0.99</v>
      </c>
      <c r="H27" s="3">
        <v>5.0</v>
      </c>
      <c r="I27" s="3">
        <v>3.0</v>
      </c>
      <c r="J27" s="3">
        <v>60.0</v>
      </c>
      <c r="K27" s="3">
        <v>16.0</v>
      </c>
      <c r="L27" s="3">
        <v>3.0</v>
      </c>
      <c r="M27" s="3">
        <v>18.75</v>
      </c>
      <c r="N27" s="3">
        <v>0.0</v>
      </c>
      <c r="O27" s="3">
        <v>0.0</v>
      </c>
      <c r="P27" s="3">
        <v>0.0</v>
      </c>
      <c r="Q27" s="3">
        <v>3.0</v>
      </c>
      <c r="R27" s="3">
        <v>1.0</v>
      </c>
      <c r="S27" s="3">
        <v>33.33</v>
      </c>
      <c r="T27" s="3">
        <v>0.0</v>
      </c>
      <c r="U27" s="3">
        <v>0.0</v>
      </c>
      <c r="V27" s="3">
        <v>0.0</v>
      </c>
      <c r="W27" s="3">
        <v>1.0</v>
      </c>
      <c r="X27" s="3">
        <v>1.0</v>
      </c>
      <c r="Y27" s="3">
        <v>100.0</v>
      </c>
      <c r="Z27" s="3">
        <v>19.0</v>
      </c>
      <c r="AA27" s="3">
        <v>6.0</v>
      </c>
      <c r="AB27" s="3">
        <v>31.58</v>
      </c>
      <c r="AC27" s="3">
        <v>61.0</v>
      </c>
      <c r="AD27" s="3">
        <v>27.0</v>
      </c>
      <c r="AE27" s="3">
        <v>44.26</v>
      </c>
      <c r="AF27" s="3">
        <v>1.0</v>
      </c>
    </row>
    <row r="28" ht="12.0" customHeight="1">
      <c r="A28" s="3" t="s">
        <v>82</v>
      </c>
      <c r="B28" s="3" t="s">
        <v>83</v>
      </c>
      <c r="C28" s="3" t="s">
        <v>36</v>
      </c>
      <c r="D28" s="3">
        <v>105.0</v>
      </c>
      <c r="E28" s="3" t="s">
        <v>32</v>
      </c>
      <c r="F28" s="3" t="s">
        <v>42</v>
      </c>
      <c r="G28" s="3">
        <v>1.65</v>
      </c>
      <c r="H28" s="3">
        <v>14.0</v>
      </c>
      <c r="I28" s="3">
        <v>3.0</v>
      </c>
      <c r="J28" s="3">
        <v>21.43</v>
      </c>
      <c r="K28" s="3">
        <v>29.0</v>
      </c>
      <c r="L28" s="3">
        <v>7.0</v>
      </c>
      <c r="M28" s="3">
        <v>24.14</v>
      </c>
      <c r="N28" s="3">
        <v>0.0</v>
      </c>
      <c r="O28" s="3">
        <v>0.0</v>
      </c>
      <c r="P28" s="3">
        <v>0.0</v>
      </c>
      <c r="Q28" s="3">
        <v>12.0</v>
      </c>
      <c r="R28" s="3">
        <v>2.0</v>
      </c>
      <c r="S28" s="3">
        <v>16.67</v>
      </c>
      <c r="T28" s="3">
        <v>4.0</v>
      </c>
      <c r="U28" s="3">
        <v>3.0</v>
      </c>
      <c r="V28" s="3">
        <v>75.0</v>
      </c>
      <c r="W28" s="3">
        <v>0.0</v>
      </c>
      <c r="X28" s="3">
        <v>0.0</v>
      </c>
      <c r="Y28" s="3">
        <v>0.0</v>
      </c>
      <c r="Z28" s="3">
        <v>17.0</v>
      </c>
      <c r="AA28" s="3">
        <v>4.0</v>
      </c>
      <c r="AB28" s="3">
        <v>23.53</v>
      </c>
      <c r="AC28" s="3">
        <v>96.0</v>
      </c>
      <c r="AD28" s="3">
        <v>36.0</v>
      </c>
      <c r="AE28" s="3">
        <v>37.5</v>
      </c>
      <c r="AF28" s="3">
        <v>3.0</v>
      </c>
    </row>
    <row r="29" ht="12.0" customHeight="1">
      <c r="E29" s="3" t="s">
        <v>84</v>
      </c>
      <c r="F29" s="3" t="s">
        <v>85</v>
      </c>
      <c r="G29" s="3">
        <v>0.2</v>
      </c>
      <c r="H29" s="3">
        <v>3.0</v>
      </c>
      <c r="I29" s="3">
        <v>1.0</v>
      </c>
      <c r="J29" s="3">
        <v>33.33</v>
      </c>
      <c r="K29" s="3">
        <v>22.0</v>
      </c>
      <c r="L29" s="3">
        <v>1.0</v>
      </c>
      <c r="M29" s="3">
        <v>4.55</v>
      </c>
      <c r="N29" s="3">
        <v>1.0</v>
      </c>
      <c r="O29" s="3">
        <v>1.0</v>
      </c>
      <c r="P29" s="3">
        <v>100.0</v>
      </c>
      <c r="Q29" s="3">
        <v>0.0</v>
      </c>
      <c r="R29" s="3">
        <v>0.0</v>
      </c>
      <c r="S29" s="3">
        <v>0.0</v>
      </c>
      <c r="T29" s="3">
        <v>2.0</v>
      </c>
      <c r="U29" s="3">
        <v>1.0</v>
      </c>
      <c r="V29" s="3">
        <v>50.0</v>
      </c>
      <c r="W29" s="3">
        <v>0.0</v>
      </c>
      <c r="X29" s="3">
        <v>0.0</v>
      </c>
      <c r="Y29" s="3">
        <v>0.0</v>
      </c>
      <c r="Z29" s="3">
        <v>7.0</v>
      </c>
      <c r="AA29" s="3">
        <v>2.0</v>
      </c>
      <c r="AB29" s="3">
        <v>28.57</v>
      </c>
      <c r="AC29" s="3">
        <v>47.0</v>
      </c>
      <c r="AD29" s="3">
        <v>16.0</v>
      </c>
      <c r="AE29" s="3">
        <v>34.04</v>
      </c>
      <c r="AF29" s="3">
        <v>1.0</v>
      </c>
    </row>
    <row r="30" ht="12.0" customHeight="1">
      <c r="A30" s="3" t="s">
        <v>86</v>
      </c>
      <c r="B30" s="3" t="s">
        <v>87</v>
      </c>
      <c r="C30" s="3" t="s">
        <v>36</v>
      </c>
      <c r="D30" s="3">
        <v>100.0</v>
      </c>
      <c r="E30" s="3" t="s">
        <v>32</v>
      </c>
      <c r="F30" s="3" t="s">
        <v>88</v>
      </c>
      <c r="G30" s="3">
        <v>2.19</v>
      </c>
      <c r="H30" s="3">
        <v>11.0</v>
      </c>
      <c r="I30" s="3">
        <v>4.0</v>
      </c>
      <c r="J30" s="3">
        <v>36.36</v>
      </c>
      <c r="K30" s="3">
        <v>24.0</v>
      </c>
      <c r="L30" s="3">
        <v>8.0</v>
      </c>
      <c r="M30" s="3">
        <v>33.33</v>
      </c>
      <c r="N30" s="3">
        <v>0.0</v>
      </c>
      <c r="O30" s="3">
        <v>0.0</v>
      </c>
      <c r="P30" s="3">
        <v>0.0</v>
      </c>
      <c r="Q30" s="3">
        <v>7.0</v>
      </c>
      <c r="R30" s="3">
        <v>3.0</v>
      </c>
      <c r="S30" s="3">
        <v>42.86</v>
      </c>
      <c r="T30" s="3">
        <v>1.0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15.0</v>
      </c>
      <c r="AA30" s="3">
        <v>4.0</v>
      </c>
      <c r="AB30" s="3">
        <v>26.67</v>
      </c>
      <c r="AC30" s="3">
        <v>41.0</v>
      </c>
      <c r="AD30" s="3">
        <v>18.0</v>
      </c>
      <c r="AE30" s="3">
        <v>43.9</v>
      </c>
      <c r="AF30" s="3">
        <v>2.0</v>
      </c>
    </row>
    <row r="31" ht="12.0" customHeight="1">
      <c r="E31" s="3" t="s">
        <v>89</v>
      </c>
      <c r="F31" s="3" t="s">
        <v>90</v>
      </c>
      <c r="G31" s="3">
        <v>1.94</v>
      </c>
      <c r="H31" s="3">
        <v>11.0</v>
      </c>
      <c r="I31" s="3">
        <v>5.0</v>
      </c>
      <c r="J31" s="3">
        <v>45.45</v>
      </c>
      <c r="K31" s="3">
        <v>27.0</v>
      </c>
      <c r="L31" s="3">
        <v>10.0</v>
      </c>
      <c r="M31" s="3">
        <v>37.04</v>
      </c>
      <c r="N31" s="3">
        <v>0.0</v>
      </c>
      <c r="O31" s="3">
        <v>0.0</v>
      </c>
      <c r="P31" s="3">
        <v>0.0</v>
      </c>
      <c r="Q31" s="3">
        <v>3.0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13.0</v>
      </c>
      <c r="AA31" s="3">
        <v>4.0</v>
      </c>
      <c r="AB31" s="3">
        <v>30.77</v>
      </c>
      <c r="AC31" s="3">
        <v>70.0</v>
      </c>
      <c r="AD31" s="3">
        <v>31.0</v>
      </c>
      <c r="AE31" s="3">
        <v>44.29</v>
      </c>
      <c r="AF31" s="3">
        <v>0.0</v>
      </c>
    </row>
    <row r="32" ht="12.0" customHeight="1">
      <c r="A32" s="3" t="s">
        <v>91</v>
      </c>
      <c r="B32" s="3" t="s">
        <v>92</v>
      </c>
      <c r="C32" s="3" t="s">
        <v>36</v>
      </c>
      <c r="D32" s="3">
        <v>94.0</v>
      </c>
      <c r="E32" s="3" t="s">
        <v>32</v>
      </c>
      <c r="F32" s="3" t="s">
        <v>42</v>
      </c>
      <c r="G32" s="3">
        <v>0.61</v>
      </c>
      <c r="H32" s="3">
        <v>8.0</v>
      </c>
      <c r="I32" s="3">
        <v>1.0</v>
      </c>
      <c r="J32" s="3">
        <v>12.5</v>
      </c>
      <c r="K32" s="3">
        <v>29.0</v>
      </c>
      <c r="L32" s="3">
        <v>2.0</v>
      </c>
      <c r="M32" s="3">
        <v>6.9</v>
      </c>
      <c r="N32" s="3">
        <v>0.0</v>
      </c>
      <c r="O32" s="3">
        <v>0.0</v>
      </c>
      <c r="P32" s="3">
        <v>0.0</v>
      </c>
      <c r="Q32" s="3">
        <v>4.0</v>
      </c>
      <c r="R32" s="3">
        <v>3.0</v>
      </c>
      <c r="S32" s="3">
        <v>75.0</v>
      </c>
      <c r="T32" s="3">
        <v>3.0</v>
      </c>
      <c r="U32" s="3">
        <v>1.0</v>
      </c>
      <c r="V32" s="3">
        <v>33.33</v>
      </c>
      <c r="W32" s="3">
        <v>0.0</v>
      </c>
      <c r="X32" s="3">
        <v>0.0</v>
      </c>
      <c r="Y32" s="3">
        <v>0.0</v>
      </c>
      <c r="Z32" s="3">
        <v>5.0</v>
      </c>
      <c r="AA32" s="3">
        <v>0.0</v>
      </c>
      <c r="AB32" s="3">
        <v>0.0</v>
      </c>
      <c r="AC32" s="3">
        <v>81.0</v>
      </c>
      <c r="AD32" s="3">
        <v>31.0</v>
      </c>
      <c r="AE32" s="3">
        <v>38.27</v>
      </c>
      <c r="AF32" s="3">
        <v>1.0</v>
      </c>
    </row>
    <row r="33" ht="12.0" customHeight="1">
      <c r="E33" s="3" t="s">
        <v>93</v>
      </c>
      <c r="F33" s="3" t="s">
        <v>39</v>
      </c>
      <c r="G33" s="3">
        <v>1.09</v>
      </c>
      <c r="H33" s="3">
        <v>9.0</v>
      </c>
      <c r="I33" s="3">
        <v>3.0</v>
      </c>
      <c r="J33" s="3">
        <v>33.33</v>
      </c>
      <c r="K33" s="3">
        <v>23.0</v>
      </c>
      <c r="L33" s="3">
        <v>6.0</v>
      </c>
      <c r="M33" s="3">
        <v>26.09</v>
      </c>
      <c r="N33" s="3">
        <v>0.0</v>
      </c>
      <c r="O33" s="3">
        <v>0.0</v>
      </c>
      <c r="P33" s="3">
        <v>0.0</v>
      </c>
      <c r="Q33" s="3">
        <v>3.0</v>
      </c>
      <c r="R33" s="3">
        <v>1.0</v>
      </c>
      <c r="S33" s="3">
        <v>33.33</v>
      </c>
      <c r="T33" s="3">
        <v>2.0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19.0</v>
      </c>
      <c r="AA33" s="3">
        <v>8.0</v>
      </c>
      <c r="AB33" s="3">
        <v>42.11</v>
      </c>
      <c r="AC33" s="3">
        <v>44.0</v>
      </c>
      <c r="AD33" s="3">
        <v>19.0</v>
      </c>
      <c r="AE33" s="3">
        <v>43.18</v>
      </c>
      <c r="AF33" s="3">
        <v>1.0</v>
      </c>
    </row>
    <row r="34" ht="12.0" customHeight="1">
      <c r="A34" s="3" t="s">
        <v>94</v>
      </c>
      <c r="B34" s="3" t="s">
        <v>95</v>
      </c>
      <c r="C34" s="3" t="s">
        <v>36</v>
      </c>
      <c r="D34" s="3">
        <v>99.0</v>
      </c>
      <c r="E34" s="3" t="s">
        <v>32</v>
      </c>
      <c r="F34" s="3" t="s">
        <v>42</v>
      </c>
      <c r="G34" s="3">
        <v>1.24</v>
      </c>
      <c r="H34" s="3">
        <v>11.0</v>
      </c>
      <c r="I34" s="3">
        <v>3.0</v>
      </c>
      <c r="J34" s="3">
        <v>27.27</v>
      </c>
      <c r="K34" s="3">
        <v>29.0</v>
      </c>
      <c r="L34" s="3">
        <v>7.0</v>
      </c>
      <c r="M34" s="3">
        <v>24.14</v>
      </c>
      <c r="N34" s="3">
        <v>3.0</v>
      </c>
      <c r="O34" s="3">
        <v>1.0</v>
      </c>
      <c r="P34" s="3">
        <v>33.33</v>
      </c>
      <c r="Q34" s="3">
        <v>3.0</v>
      </c>
      <c r="R34" s="3">
        <v>1.0</v>
      </c>
      <c r="S34" s="3">
        <v>33.33</v>
      </c>
      <c r="T34" s="3">
        <v>1.0</v>
      </c>
      <c r="U34" s="3">
        <v>1.0</v>
      </c>
      <c r="V34" s="3">
        <v>100.0</v>
      </c>
      <c r="W34" s="3">
        <v>0.0</v>
      </c>
      <c r="X34" s="3">
        <v>0.0</v>
      </c>
      <c r="Y34" s="3">
        <v>0.0</v>
      </c>
      <c r="Z34" s="3">
        <v>20.0</v>
      </c>
      <c r="AA34" s="3">
        <v>10.0</v>
      </c>
      <c r="AB34" s="3">
        <v>50.0</v>
      </c>
      <c r="AC34" s="3">
        <v>56.0</v>
      </c>
      <c r="AD34" s="3">
        <v>20.0</v>
      </c>
      <c r="AE34" s="3">
        <v>35.71</v>
      </c>
      <c r="AF34" s="3">
        <v>1.0</v>
      </c>
    </row>
    <row r="35" ht="12.0" customHeight="1">
      <c r="E35" s="3" t="s">
        <v>96</v>
      </c>
      <c r="F35" s="3" t="s">
        <v>42</v>
      </c>
      <c r="G35" s="3">
        <v>1.87</v>
      </c>
      <c r="H35" s="3">
        <v>11.0</v>
      </c>
      <c r="I35" s="3">
        <v>8.0</v>
      </c>
      <c r="J35" s="3">
        <v>72.73</v>
      </c>
      <c r="K35" s="3">
        <v>25.0</v>
      </c>
      <c r="L35" s="3">
        <v>9.0</v>
      </c>
      <c r="M35" s="3">
        <v>36.0</v>
      </c>
      <c r="N35" s="3">
        <v>0.0</v>
      </c>
      <c r="O35" s="3">
        <v>0.0</v>
      </c>
      <c r="P35" s="3">
        <v>0.0</v>
      </c>
      <c r="Q35" s="3">
        <v>3.0</v>
      </c>
      <c r="R35" s="3">
        <v>0.0</v>
      </c>
      <c r="S35" s="3">
        <v>0.0</v>
      </c>
      <c r="T35" s="3">
        <v>3.0</v>
      </c>
      <c r="U35" s="3">
        <v>2.0</v>
      </c>
      <c r="V35" s="3">
        <v>66.67</v>
      </c>
      <c r="W35" s="3">
        <v>0.0</v>
      </c>
      <c r="X35" s="3">
        <v>0.0</v>
      </c>
      <c r="Y35" s="3">
        <v>0.0</v>
      </c>
      <c r="Z35" s="3">
        <v>24.0</v>
      </c>
      <c r="AA35" s="3">
        <v>5.0</v>
      </c>
      <c r="AB35" s="3">
        <v>20.83</v>
      </c>
      <c r="AC35" s="3">
        <v>61.0</v>
      </c>
      <c r="AD35" s="3">
        <v>25.0</v>
      </c>
      <c r="AE35" s="3">
        <v>40.98</v>
      </c>
      <c r="AF35" s="3">
        <v>1.0</v>
      </c>
    </row>
    <row r="36" ht="12.0" customHeight="1">
      <c r="A36" s="3" t="s">
        <v>97</v>
      </c>
      <c r="B36" s="3" t="s">
        <v>98</v>
      </c>
      <c r="C36" s="3" t="s">
        <v>36</v>
      </c>
      <c r="D36" s="3">
        <v>106.0</v>
      </c>
      <c r="E36" s="3" t="s">
        <v>32</v>
      </c>
      <c r="F36" s="3" t="s">
        <v>42</v>
      </c>
      <c r="G36" s="3">
        <v>1.78</v>
      </c>
      <c r="H36" s="3">
        <v>12.0</v>
      </c>
      <c r="I36" s="3">
        <v>6.0</v>
      </c>
      <c r="J36" s="3">
        <v>50.0</v>
      </c>
      <c r="K36" s="3">
        <v>19.0</v>
      </c>
      <c r="L36" s="3">
        <v>4.0</v>
      </c>
      <c r="M36" s="3">
        <v>21.05</v>
      </c>
      <c r="N36" s="3">
        <v>4.0</v>
      </c>
      <c r="O36" s="3">
        <v>2.0</v>
      </c>
      <c r="P36" s="3">
        <v>50.0</v>
      </c>
      <c r="Q36" s="3">
        <v>7.0</v>
      </c>
      <c r="R36" s="3">
        <v>4.0</v>
      </c>
      <c r="S36" s="3">
        <v>57.14</v>
      </c>
      <c r="T36" s="3">
        <v>4.0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11.0</v>
      </c>
      <c r="AA36" s="3">
        <v>4.0</v>
      </c>
      <c r="AB36" s="3">
        <v>36.36</v>
      </c>
      <c r="AC36" s="3">
        <v>62.0</v>
      </c>
      <c r="AD36" s="3">
        <v>26.0</v>
      </c>
      <c r="AE36" s="3">
        <v>41.94</v>
      </c>
      <c r="AF36" s="3">
        <v>5.0</v>
      </c>
    </row>
    <row r="37" ht="12.0" customHeight="1">
      <c r="E37" s="3" t="s">
        <v>99</v>
      </c>
      <c r="F37" s="3" t="s">
        <v>100</v>
      </c>
      <c r="G37" s="3">
        <v>0.42</v>
      </c>
      <c r="H37" s="3">
        <v>8.0</v>
      </c>
      <c r="I37" s="3">
        <v>1.0</v>
      </c>
      <c r="J37" s="3">
        <v>12.5</v>
      </c>
      <c r="K37" s="3">
        <v>19.0</v>
      </c>
      <c r="L37" s="3">
        <v>7.0</v>
      </c>
      <c r="M37" s="3">
        <v>36.84</v>
      </c>
      <c r="N37" s="3">
        <v>0.0</v>
      </c>
      <c r="O37" s="3">
        <v>0.0</v>
      </c>
      <c r="P37" s="3">
        <v>0.0</v>
      </c>
      <c r="Q37" s="3">
        <v>3.0</v>
      </c>
      <c r="R37" s="3">
        <v>0.0</v>
      </c>
      <c r="S37" s="3">
        <v>0.0</v>
      </c>
      <c r="T37" s="3">
        <v>4.0</v>
      </c>
      <c r="U37" s="3">
        <v>2.0</v>
      </c>
      <c r="V37" s="3">
        <v>50.0</v>
      </c>
      <c r="W37" s="3">
        <v>0.0</v>
      </c>
      <c r="X37" s="3">
        <v>0.0</v>
      </c>
      <c r="Y37" s="3">
        <v>0.0</v>
      </c>
      <c r="Z37" s="3">
        <v>11.0</v>
      </c>
      <c r="AA37" s="3">
        <v>2.0</v>
      </c>
      <c r="AB37" s="3">
        <v>18.18</v>
      </c>
      <c r="AC37" s="3">
        <v>52.0</v>
      </c>
      <c r="AD37" s="3">
        <v>18.0</v>
      </c>
      <c r="AE37" s="3">
        <v>34.62</v>
      </c>
      <c r="AF37" s="3">
        <v>1.0</v>
      </c>
    </row>
    <row r="38" ht="12.0" customHeight="1">
      <c r="A38" s="3" t="s">
        <v>101</v>
      </c>
      <c r="B38" s="3" t="s">
        <v>102</v>
      </c>
      <c r="C38" s="3" t="s">
        <v>36</v>
      </c>
      <c r="D38" s="3">
        <v>102.0</v>
      </c>
      <c r="E38" s="3" t="s">
        <v>32</v>
      </c>
      <c r="F38" s="3" t="s">
        <v>74</v>
      </c>
      <c r="G38" s="3">
        <v>1.11</v>
      </c>
      <c r="H38" s="3">
        <v>14.0</v>
      </c>
      <c r="I38" s="3">
        <v>3.0</v>
      </c>
      <c r="J38" s="3">
        <v>21.43</v>
      </c>
      <c r="K38" s="3">
        <v>26.0</v>
      </c>
      <c r="L38" s="3">
        <v>8.0</v>
      </c>
      <c r="M38" s="3">
        <v>30.77</v>
      </c>
      <c r="N38" s="3">
        <v>1.0</v>
      </c>
      <c r="O38" s="3">
        <v>1.0</v>
      </c>
      <c r="P38" s="3">
        <v>100.0</v>
      </c>
      <c r="Q38" s="3">
        <v>4.0</v>
      </c>
      <c r="R38" s="3">
        <v>2.0</v>
      </c>
      <c r="S38" s="3">
        <v>50.0</v>
      </c>
      <c r="T38" s="3">
        <v>1.0</v>
      </c>
      <c r="U38" s="3">
        <v>1.0</v>
      </c>
      <c r="V38" s="3">
        <v>100.0</v>
      </c>
      <c r="W38" s="3">
        <v>0.0</v>
      </c>
      <c r="X38" s="3">
        <v>0.0</v>
      </c>
      <c r="Y38" s="3">
        <v>0.0</v>
      </c>
      <c r="Z38" s="3">
        <v>16.0</v>
      </c>
      <c r="AA38" s="3">
        <v>6.0</v>
      </c>
      <c r="AB38" s="3">
        <v>37.5</v>
      </c>
      <c r="AC38" s="3">
        <v>62.0</v>
      </c>
      <c r="AD38" s="3">
        <v>21.0</v>
      </c>
      <c r="AE38" s="3">
        <v>33.87</v>
      </c>
      <c r="AF38" s="3">
        <v>2.0</v>
      </c>
    </row>
    <row r="39" ht="12.0" customHeight="1">
      <c r="E39" s="3" t="s">
        <v>103</v>
      </c>
      <c r="F39" s="3" t="s">
        <v>74</v>
      </c>
      <c r="G39" s="3">
        <v>1.24</v>
      </c>
      <c r="H39" s="3">
        <v>11.0</v>
      </c>
      <c r="I39" s="3">
        <v>4.0</v>
      </c>
      <c r="J39" s="3">
        <v>36.36</v>
      </c>
      <c r="K39" s="3">
        <v>23.0</v>
      </c>
      <c r="L39" s="3">
        <v>7.0</v>
      </c>
      <c r="M39" s="3">
        <v>30.43</v>
      </c>
      <c r="N39" s="3">
        <v>0.0</v>
      </c>
      <c r="O39" s="3">
        <v>0.0</v>
      </c>
      <c r="P39" s="3">
        <v>0.0</v>
      </c>
      <c r="Q39" s="3">
        <v>6.0</v>
      </c>
      <c r="R39" s="3">
        <v>1.0</v>
      </c>
      <c r="S39" s="3">
        <v>16.67</v>
      </c>
      <c r="T39" s="3">
        <v>4.0</v>
      </c>
      <c r="U39" s="3">
        <v>1.0</v>
      </c>
      <c r="V39" s="3">
        <v>25.0</v>
      </c>
      <c r="W39" s="3">
        <v>1.0</v>
      </c>
      <c r="X39" s="3">
        <v>1.0</v>
      </c>
      <c r="Y39" s="3">
        <v>100.0</v>
      </c>
      <c r="Z39" s="3">
        <v>10.0</v>
      </c>
      <c r="AA39" s="3">
        <v>1.0</v>
      </c>
      <c r="AB39" s="3">
        <v>10.0</v>
      </c>
      <c r="AC39" s="3">
        <v>65.0</v>
      </c>
      <c r="AD39" s="3">
        <v>26.0</v>
      </c>
      <c r="AE39" s="3">
        <v>40.0</v>
      </c>
      <c r="AF39" s="3">
        <v>4.0</v>
      </c>
    </row>
    <row r="40" ht="12.0" customHeight="1">
      <c r="A40" s="3" t="s">
        <v>104</v>
      </c>
      <c r="B40" s="3" t="s">
        <v>105</v>
      </c>
      <c r="C40" s="3" t="s">
        <v>36</v>
      </c>
      <c r="D40" s="3">
        <v>99.0</v>
      </c>
      <c r="E40" s="3" t="s">
        <v>32</v>
      </c>
      <c r="F40" s="3" t="s">
        <v>39</v>
      </c>
      <c r="G40" s="3">
        <v>1.23</v>
      </c>
      <c r="H40" s="3">
        <v>11.0</v>
      </c>
      <c r="I40" s="3">
        <v>4.0</v>
      </c>
      <c r="J40" s="3">
        <v>36.36</v>
      </c>
      <c r="K40" s="3">
        <v>30.0</v>
      </c>
      <c r="L40" s="3">
        <v>7.0</v>
      </c>
      <c r="M40" s="3">
        <v>23.33</v>
      </c>
      <c r="N40" s="3">
        <v>0.0</v>
      </c>
      <c r="O40" s="3">
        <v>0.0</v>
      </c>
      <c r="P40" s="3">
        <v>0.0</v>
      </c>
      <c r="Q40" s="3">
        <v>3.0</v>
      </c>
      <c r="R40" s="3">
        <v>0.0</v>
      </c>
      <c r="S40" s="3">
        <v>0.0</v>
      </c>
      <c r="T40" s="3">
        <v>1.0</v>
      </c>
      <c r="U40" s="3">
        <v>1.0</v>
      </c>
      <c r="V40" s="3">
        <v>100.0</v>
      </c>
      <c r="W40" s="3">
        <v>0.0</v>
      </c>
      <c r="X40" s="3">
        <v>0.0</v>
      </c>
      <c r="Y40" s="3">
        <v>0.0</v>
      </c>
      <c r="Z40" s="3">
        <v>20.0</v>
      </c>
      <c r="AA40" s="3">
        <v>5.0</v>
      </c>
      <c r="AB40" s="3">
        <v>25.0</v>
      </c>
      <c r="AC40" s="3">
        <v>65.0</v>
      </c>
      <c r="AD40" s="3">
        <v>26.0</v>
      </c>
      <c r="AE40" s="3">
        <v>40.0</v>
      </c>
      <c r="AF40" s="3">
        <v>2.0</v>
      </c>
    </row>
    <row r="41" ht="12.0" customHeight="1">
      <c r="E41" s="3" t="s">
        <v>58</v>
      </c>
      <c r="F41" s="3" t="s">
        <v>106</v>
      </c>
      <c r="G41" s="3">
        <v>1.21</v>
      </c>
      <c r="H41" s="3">
        <v>10.0</v>
      </c>
      <c r="I41" s="3">
        <v>2.0</v>
      </c>
      <c r="J41" s="3">
        <v>20.0</v>
      </c>
      <c r="K41" s="3">
        <v>30.0</v>
      </c>
      <c r="L41" s="3">
        <v>6.0</v>
      </c>
      <c r="M41" s="3">
        <v>20.0</v>
      </c>
      <c r="N41" s="3">
        <v>2.0</v>
      </c>
      <c r="O41" s="3">
        <v>2.0</v>
      </c>
      <c r="P41" s="3">
        <v>100.0</v>
      </c>
      <c r="Q41" s="3">
        <v>2.0</v>
      </c>
      <c r="R41" s="3">
        <v>2.0</v>
      </c>
      <c r="S41" s="3">
        <v>100.0</v>
      </c>
      <c r="T41" s="3">
        <v>1.0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24.0</v>
      </c>
      <c r="AA41" s="3">
        <v>5.0</v>
      </c>
      <c r="AB41" s="3">
        <v>20.83</v>
      </c>
      <c r="AC41" s="3">
        <v>54.0</v>
      </c>
      <c r="AD41" s="3">
        <v>21.0</v>
      </c>
      <c r="AE41" s="3">
        <v>38.89</v>
      </c>
      <c r="AF41" s="3">
        <v>3.0</v>
      </c>
    </row>
    <row r="42" ht="12.0" customHeight="1">
      <c r="A42" s="3" t="s">
        <v>107</v>
      </c>
      <c r="B42" s="3" t="s">
        <v>108</v>
      </c>
      <c r="C42" s="3" t="s">
        <v>36</v>
      </c>
      <c r="D42" s="3">
        <v>96.0</v>
      </c>
      <c r="E42" s="3" t="s">
        <v>32</v>
      </c>
      <c r="F42" s="3" t="s">
        <v>42</v>
      </c>
      <c r="G42" s="3">
        <v>0.71</v>
      </c>
      <c r="H42" s="3">
        <v>15.0</v>
      </c>
      <c r="I42" s="3">
        <v>6.0</v>
      </c>
      <c r="J42" s="3">
        <v>40.0</v>
      </c>
      <c r="K42" s="3">
        <v>36.0</v>
      </c>
      <c r="L42" s="3">
        <v>10.0</v>
      </c>
      <c r="M42" s="3">
        <v>27.78</v>
      </c>
      <c r="N42" s="3">
        <v>0.0</v>
      </c>
      <c r="O42" s="3">
        <v>0.0</v>
      </c>
      <c r="P42" s="3">
        <v>0.0</v>
      </c>
      <c r="Q42" s="3">
        <v>6.0</v>
      </c>
      <c r="R42" s="3">
        <v>3.0</v>
      </c>
      <c r="S42" s="3">
        <v>50.0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20.0</v>
      </c>
      <c r="AA42" s="3">
        <v>8.0</v>
      </c>
      <c r="AB42" s="3">
        <v>40.0</v>
      </c>
      <c r="AC42" s="3">
        <v>80.0</v>
      </c>
      <c r="AD42" s="3">
        <v>29.0</v>
      </c>
      <c r="AE42" s="3">
        <v>36.25</v>
      </c>
      <c r="AF42" s="3">
        <v>1.0</v>
      </c>
    </row>
    <row r="43" ht="12.0" customHeight="1">
      <c r="E43" s="3" t="s">
        <v>38</v>
      </c>
      <c r="F43" s="3" t="s">
        <v>109</v>
      </c>
      <c r="G43" s="3">
        <v>0.86</v>
      </c>
      <c r="H43" s="3">
        <v>9.0</v>
      </c>
      <c r="I43" s="3">
        <v>5.0</v>
      </c>
      <c r="J43" s="3">
        <v>55.56</v>
      </c>
      <c r="K43" s="3">
        <v>29.0</v>
      </c>
      <c r="L43" s="3">
        <v>6.0</v>
      </c>
      <c r="M43" s="3">
        <v>20.69</v>
      </c>
      <c r="N43" s="3">
        <v>1.0</v>
      </c>
      <c r="O43" s="3">
        <v>0.0</v>
      </c>
      <c r="P43" s="3">
        <v>0.0</v>
      </c>
      <c r="Q43" s="3">
        <v>3.0</v>
      </c>
      <c r="R43" s="3">
        <v>1.0</v>
      </c>
      <c r="S43" s="3">
        <v>33.33</v>
      </c>
      <c r="T43" s="3">
        <v>2.0</v>
      </c>
      <c r="U43" s="3">
        <v>1.0</v>
      </c>
      <c r="V43" s="3">
        <v>50.0</v>
      </c>
      <c r="W43" s="3">
        <v>0.0</v>
      </c>
      <c r="X43" s="3">
        <v>0.0</v>
      </c>
      <c r="Y43" s="3">
        <v>0.0</v>
      </c>
      <c r="Z43" s="3">
        <v>17.0</v>
      </c>
      <c r="AA43" s="3">
        <v>7.0</v>
      </c>
      <c r="AB43" s="3">
        <v>41.18</v>
      </c>
      <c r="AC43" s="3">
        <v>63.0</v>
      </c>
      <c r="AD43" s="3">
        <v>28.0</v>
      </c>
      <c r="AE43" s="3">
        <v>44.44</v>
      </c>
      <c r="AF43" s="3">
        <v>0.0</v>
      </c>
    </row>
    <row r="44" ht="12.0" customHeight="1">
      <c r="A44" s="3" t="s">
        <v>110</v>
      </c>
      <c r="B44" s="3" t="s">
        <v>111</v>
      </c>
      <c r="C44" s="3" t="s">
        <v>36</v>
      </c>
      <c r="D44" s="3">
        <v>101.0</v>
      </c>
      <c r="E44" s="3" t="s">
        <v>32</v>
      </c>
      <c r="F44" s="3" t="s">
        <v>42</v>
      </c>
      <c r="G44" s="3">
        <v>2.13</v>
      </c>
      <c r="H44" s="3">
        <v>13.0</v>
      </c>
      <c r="I44" s="3">
        <v>7.0</v>
      </c>
      <c r="J44" s="3">
        <v>53.85</v>
      </c>
      <c r="K44" s="3">
        <v>30.0</v>
      </c>
      <c r="L44" s="3">
        <v>11.0</v>
      </c>
      <c r="M44" s="3">
        <v>36.67</v>
      </c>
      <c r="N44" s="3">
        <v>0.0</v>
      </c>
      <c r="O44" s="3">
        <v>0.0</v>
      </c>
      <c r="P44" s="3">
        <v>0.0</v>
      </c>
      <c r="Q44" s="3">
        <v>10.0</v>
      </c>
      <c r="R44" s="3">
        <v>1.0</v>
      </c>
      <c r="S44" s="3">
        <v>10.0</v>
      </c>
      <c r="T44" s="3">
        <v>2.0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18.0</v>
      </c>
      <c r="AA44" s="3">
        <v>5.0</v>
      </c>
      <c r="AB44" s="3">
        <v>27.78</v>
      </c>
      <c r="AC44" s="3">
        <v>55.0</v>
      </c>
      <c r="AD44" s="3">
        <v>14.0</v>
      </c>
      <c r="AE44" s="3">
        <v>25.45</v>
      </c>
      <c r="AF44" s="3">
        <v>2.0</v>
      </c>
    </row>
    <row r="45" ht="12.0" customHeight="1">
      <c r="E45" s="3" t="s">
        <v>73</v>
      </c>
      <c r="F45" s="3" t="s">
        <v>42</v>
      </c>
      <c r="G45" s="3">
        <v>1.72</v>
      </c>
      <c r="H45" s="3">
        <v>16.0</v>
      </c>
      <c r="I45" s="3">
        <v>6.0</v>
      </c>
      <c r="J45" s="3">
        <v>37.5</v>
      </c>
      <c r="K45" s="3">
        <v>29.0</v>
      </c>
      <c r="L45" s="3">
        <v>10.0</v>
      </c>
      <c r="M45" s="3">
        <v>34.48</v>
      </c>
      <c r="N45" s="3">
        <v>0.0</v>
      </c>
      <c r="O45" s="3">
        <v>0.0</v>
      </c>
      <c r="P45" s="3">
        <v>0.0</v>
      </c>
      <c r="Q45" s="3">
        <v>3.0</v>
      </c>
      <c r="R45" s="3">
        <v>2.0</v>
      </c>
      <c r="S45" s="3">
        <v>66.67</v>
      </c>
      <c r="T45" s="3">
        <v>2.0</v>
      </c>
      <c r="U45" s="3">
        <v>1.0</v>
      </c>
      <c r="V45" s="3">
        <v>50.0</v>
      </c>
      <c r="W45" s="3">
        <v>0.0</v>
      </c>
      <c r="X45" s="3">
        <v>0.0</v>
      </c>
      <c r="Y45" s="3">
        <v>0.0</v>
      </c>
      <c r="Z45" s="3">
        <v>15.0</v>
      </c>
      <c r="AA45" s="3">
        <v>8.0</v>
      </c>
      <c r="AB45" s="3">
        <v>53.33</v>
      </c>
      <c r="AC45" s="3">
        <v>58.0</v>
      </c>
      <c r="AD45" s="3">
        <v>18.0</v>
      </c>
      <c r="AE45" s="3">
        <v>31.03</v>
      </c>
      <c r="AF45" s="3">
        <v>1.0</v>
      </c>
    </row>
    <row r="46" ht="12.0" customHeight="1">
      <c r="A46" s="3" t="s">
        <v>112</v>
      </c>
      <c r="B46" s="3" t="s">
        <v>113</v>
      </c>
      <c r="C46" s="3" t="s">
        <v>36</v>
      </c>
      <c r="D46" s="3">
        <v>102.0</v>
      </c>
      <c r="E46" s="3" t="s">
        <v>32</v>
      </c>
      <c r="F46" s="3" t="s">
        <v>114</v>
      </c>
      <c r="G46" s="3">
        <v>2.23</v>
      </c>
      <c r="H46" s="3">
        <v>16.0</v>
      </c>
      <c r="I46" s="3">
        <v>5.0</v>
      </c>
      <c r="J46" s="3">
        <v>31.25</v>
      </c>
      <c r="K46" s="3">
        <v>46.0</v>
      </c>
      <c r="L46" s="3">
        <v>10.0</v>
      </c>
      <c r="M46" s="3">
        <v>21.74</v>
      </c>
      <c r="N46" s="3">
        <v>0.0</v>
      </c>
      <c r="O46" s="3">
        <v>0.0</v>
      </c>
      <c r="P46" s="3">
        <v>0.0</v>
      </c>
      <c r="Q46" s="3">
        <v>9.0</v>
      </c>
      <c r="R46" s="3">
        <v>2.0</v>
      </c>
      <c r="S46" s="3">
        <v>22.22</v>
      </c>
      <c r="T46" s="3">
        <v>3.0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27.0</v>
      </c>
      <c r="AA46" s="3">
        <v>9.0</v>
      </c>
      <c r="AB46" s="3">
        <v>33.33</v>
      </c>
      <c r="AC46" s="3">
        <v>71.0</v>
      </c>
      <c r="AD46" s="3">
        <v>25.0</v>
      </c>
      <c r="AE46" s="3">
        <v>35.21</v>
      </c>
      <c r="AF46" s="3">
        <v>3.0</v>
      </c>
    </row>
    <row r="47" ht="12.0" customHeight="1">
      <c r="E47" s="3" t="s">
        <v>69</v>
      </c>
      <c r="F47" s="3" t="s">
        <v>115</v>
      </c>
      <c r="G47" s="3">
        <v>1.23</v>
      </c>
      <c r="H47" s="3">
        <v>13.0</v>
      </c>
      <c r="I47" s="3">
        <v>7.0</v>
      </c>
      <c r="J47" s="3">
        <v>53.85</v>
      </c>
      <c r="K47" s="3">
        <v>21.0</v>
      </c>
      <c r="L47" s="3">
        <v>8.0</v>
      </c>
      <c r="M47" s="3">
        <v>38.1</v>
      </c>
      <c r="N47" s="3">
        <v>0.0</v>
      </c>
      <c r="O47" s="3">
        <v>0.0</v>
      </c>
      <c r="P47" s="3">
        <v>0.0</v>
      </c>
      <c r="Q47" s="3">
        <v>5.0</v>
      </c>
      <c r="R47" s="3">
        <v>2.0</v>
      </c>
      <c r="S47" s="3">
        <v>40.0</v>
      </c>
      <c r="T47" s="3">
        <v>2.0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11.0</v>
      </c>
      <c r="AA47" s="3">
        <v>2.0</v>
      </c>
      <c r="AB47" s="3">
        <v>18.18</v>
      </c>
      <c r="AC47" s="3">
        <v>57.0</v>
      </c>
      <c r="AD47" s="3">
        <v>20.0</v>
      </c>
      <c r="AE47" s="3">
        <v>35.09</v>
      </c>
      <c r="AF47" s="3">
        <v>2.0</v>
      </c>
    </row>
    <row r="48" ht="12.0" customHeight="1">
      <c r="A48" s="3" t="s">
        <v>116</v>
      </c>
      <c r="B48" s="3" t="s">
        <v>117</v>
      </c>
      <c r="C48" s="3" t="s">
        <v>36</v>
      </c>
      <c r="D48" s="3">
        <v>99.0</v>
      </c>
      <c r="E48" s="3" t="s">
        <v>32</v>
      </c>
      <c r="F48" s="3" t="s">
        <v>42</v>
      </c>
      <c r="G48" s="3">
        <v>1.66</v>
      </c>
      <c r="H48" s="3">
        <v>15.0</v>
      </c>
      <c r="I48" s="3">
        <v>6.0</v>
      </c>
      <c r="J48" s="3">
        <v>40.0</v>
      </c>
      <c r="K48" s="3">
        <v>34.0</v>
      </c>
      <c r="L48" s="3">
        <v>7.0</v>
      </c>
      <c r="M48" s="3">
        <v>20.59</v>
      </c>
      <c r="N48" s="3">
        <v>0.0</v>
      </c>
      <c r="O48" s="3">
        <v>0.0</v>
      </c>
      <c r="P48" s="3">
        <v>0.0</v>
      </c>
      <c r="Q48" s="3">
        <v>10.0</v>
      </c>
      <c r="R48" s="3">
        <v>3.0</v>
      </c>
      <c r="S48" s="3">
        <v>30.0</v>
      </c>
      <c r="T48" s="3">
        <v>7.0</v>
      </c>
      <c r="U48" s="3">
        <v>1.0</v>
      </c>
      <c r="V48" s="3">
        <v>14.29</v>
      </c>
      <c r="W48" s="3">
        <v>0.0</v>
      </c>
      <c r="X48" s="3">
        <v>0.0</v>
      </c>
      <c r="Y48" s="3">
        <v>0.0</v>
      </c>
      <c r="Z48" s="3">
        <v>19.0</v>
      </c>
      <c r="AA48" s="3">
        <v>5.0</v>
      </c>
      <c r="AB48" s="3">
        <v>26.32</v>
      </c>
      <c r="AC48" s="3">
        <v>92.0</v>
      </c>
      <c r="AD48" s="3">
        <v>37.0</v>
      </c>
      <c r="AE48" s="3">
        <v>40.22</v>
      </c>
      <c r="AF48" s="3">
        <v>3.0</v>
      </c>
    </row>
    <row r="49" ht="12.0" customHeight="1">
      <c r="E49" s="3" t="s">
        <v>81</v>
      </c>
      <c r="F49" s="3" t="s">
        <v>37</v>
      </c>
      <c r="G49" s="3">
        <v>1.4</v>
      </c>
      <c r="H49" s="3">
        <v>11.0</v>
      </c>
      <c r="I49" s="3">
        <v>7.0</v>
      </c>
      <c r="J49" s="3">
        <v>63.64</v>
      </c>
      <c r="K49" s="3">
        <v>31.0</v>
      </c>
      <c r="L49" s="3">
        <v>8.0</v>
      </c>
      <c r="M49" s="3">
        <v>25.81</v>
      </c>
      <c r="N49" s="3">
        <v>1.0</v>
      </c>
      <c r="O49" s="3">
        <v>1.0</v>
      </c>
      <c r="P49" s="3">
        <v>100.0</v>
      </c>
      <c r="Q49" s="3">
        <v>5.0</v>
      </c>
      <c r="R49" s="3">
        <v>2.0</v>
      </c>
      <c r="S49" s="3">
        <v>40.0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17.0</v>
      </c>
      <c r="AA49" s="3">
        <v>2.0</v>
      </c>
      <c r="AB49" s="3">
        <v>11.76</v>
      </c>
      <c r="AC49" s="3">
        <v>74.0</v>
      </c>
      <c r="AD49" s="3">
        <v>29.0</v>
      </c>
      <c r="AE49" s="3">
        <v>39.19</v>
      </c>
      <c r="AF49" s="3">
        <v>2.0</v>
      </c>
    </row>
    <row r="50" ht="12.0" customHeight="1">
      <c r="A50" s="3" t="s">
        <v>118</v>
      </c>
      <c r="B50" s="3" t="s">
        <v>119</v>
      </c>
      <c r="C50" s="3" t="s">
        <v>36</v>
      </c>
      <c r="D50" s="3">
        <v>97.0</v>
      </c>
      <c r="E50" s="3" t="s">
        <v>32</v>
      </c>
      <c r="F50" s="3" t="s">
        <v>74</v>
      </c>
      <c r="G50" s="3">
        <v>1.87</v>
      </c>
      <c r="H50" s="3">
        <v>12.0</v>
      </c>
      <c r="I50" s="3">
        <v>5.0</v>
      </c>
      <c r="J50" s="3">
        <v>41.67</v>
      </c>
      <c r="K50" s="3">
        <v>28.0</v>
      </c>
      <c r="L50" s="3">
        <v>8.0</v>
      </c>
      <c r="M50" s="3">
        <v>28.57</v>
      </c>
      <c r="N50" s="3">
        <v>0.0</v>
      </c>
      <c r="O50" s="3">
        <v>0.0</v>
      </c>
      <c r="P50" s="3">
        <v>0.0</v>
      </c>
      <c r="Q50" s="3">
        <v>2.0</v>
      </c>
      <c r="R50" s="3">
        <v>0.0</v>
      </c>
      <c r="S50" s="3">
        <v>0.0</v>
      </c>
      <c r="T50" s="3">
        <v>5.0</v>
      </c>
      <c r="U50" s="3">
        <v>1.0</v>
      </c>
      <c r="V50" s="3">
        <v>20.0</v>
      </c>
      <c r="W50" s="3">
        <v>1.0</v>
      </c>
      <c r="X50" s="3">
        <v>1.0</v>
      </c>
      <c r="Y50" s="3">
        <v>100.0</v>
      </c>
      <c r="Z50" s="3">
        <v>10.0</v>
      </c>
      <c r="AA50" s="3">
        <v>1.0</v>
      </c>
      <c r="AB50" s="3">
        <v>10.0</v>
      </c>
      <c r="AC50" s="3">
        <v>74.0</v>
      </c>
      <c r="AD50" s="3">
        <v>27.0</v>
      </c>
      <c r="AE50" s="3">
        <v>36.49</v>
      </c>
      <c r="AF50" s="3">
        <v>0.0</v>
      </c>
    </row>
    <row r="51" ht="12.0" customHeight="1">
      <c r="E51" s="3" t="s">
        <v>84</v>
      </c>
      <c r="F51" s="3" t="s">
        <v>37</v>
      </c>
      <c r="G51" s="3">
        <v>2.02</v>
      </c>
      <c r="H51" s="3">
        <v>20.0</v>
      </c>
      <c r="I51" s="3">
        <v>8.0</v>
      </c>
      <c r="J51" s="3">
        <v>40.0</v>
      </c>
      <c r="K51" s="3">
        <v>24.0</v>
      </c>
      <c r="L51" s="3">
        <v>11.0</v>
      </c>
      <c r="M51" s="3">
        <v>45.83</v>
      </c>
      <c r="N51" s="3">
        <v>0.0</v>
      </c>
      <c r="O51" s="3">
        <v>0.0</v>
      </c>
      <c r="P51" s="3">
        <v>0.0</v>
      </c>
      <c r="Q51" s="3">
        <v>5.0</v>
      </c>
      <c r="R51" s="3">
        <v>3.0</v>
      </c>
      <c r="S51" s="3">
        <v>60.0</v>
      </c>
      <c r="T51" s="3">
        <v>1.0</v>
      </c>
      <c r="U51" s="3">
        <v>1.0</v>
      </c>
      <c r="V51" s="3">
        <v>100.0</v>
      </c>
      <c r="W51" s="3">
        <v>0.0</v>
      </c>
      <c r="X51" s="3">
        <v>0.0</v>
      </c>
      <c r="Y51" s="3">
        <v>0.0</v>
      </c>
      <c r="Z51" s="3">
        <v>15.0</v>
      </c>
      <c r="AA51" s="3">
        <v>8.0</v>
      </c>
      <c r="AB51" s="3">
        <v>53.33</v>
      </c>
      <c r="AC51" s="3">
        <v>51.0</v>
      </c>
      <c r="AD51" s="3">
        <v>23.0</v>
      </c>
      <c r="AE51" s="3">
        <v>45.1</v>
      </c>
      <c r="AF51" s="3">
        <v>5.0</v>
      </c>
    </row>
    <row r="52" ht="12.0" customHeight="1">
      <c r="A52" s="3" t="s">
        <v>120</v>
      </c>
      <c r="B52" s="3" t="s">
        <v>121</v>
      </c>
      <c r="C52" s="3" t="s">
        <v>36</v>
      </c>
      <c r="D52" s="3">
        <v>106.0</v>
      </c>
      <c r="E52" s="3" t="s">
        <v>32</v>
      </c>
      <c r="F52" s="3" t="s">
        <v>122</v>
      </c>
      <c r="G52" s="3">
        <v>2.39</v>
      </c>
      <c r="H52" s="3">
        <v>12.0</v>
      </c>
      <c r="I52" s="3">
        <v>8.0</v>
      </c>
      <c r="J52" s="3">
        <v>66.67</v>
      </c>
      <c r="K52" s="3">
        <v>26.0</v>
      </c>
      <c r="L52" s="3">
        <v>9.0</v>
      </c>
      <c r="M52" s="3">
        <v>34.62</v>
      </c>
      <c r="N52" s="3">
        <v>1.0</v>
      </c>
      <c r="O52" s="3">
        <v>0.0</v>
      </c>
      <c r="P52" s="3">
        <v>0.0</v>
      </c>
      <c r="Q52" s="3">
        <v>3.0</v>
      </c>
      <c r="R52" s="3">
        <v>1.0</v>
      </c>
      <c r="S52" s="3">
        <v>33.33</v>
      </c>
      <c r="T52" s="3">
        <v>2.0</v>
      </c>
      <c r="U52" s="3">
        <v>0.0</v>
      </c>
      <c r="V52" s="3">
        <v>0.0</v>
      </c>
      <c r="W52" s="3">
        <v>1.0</v>
      </c>
      <c r="X52" s="3">
        <v>0.0</v>
      </c>
      <c r="Y52" s="3">
        <v>0.0</v>
      </c>
      <c r="Z52" s="3">
        <v>15.0</v>
      </c>
      <c r="AA52" s="3">
        <v>4.0</v>
      </c>
      <c r="AB52" s="3">
        <v>26.67</v>
      </c>
      <c r="AC52" s="3">
        <v>76.0</v>
      </c>
      <c r="AD52" s="3">
        <v>26.0</v>
      </c>
      <c r="AE52" s="3">
        <v>34.21</v>
      </c>
      <c r="AF52" s="3">
        <v>2.0</v>
      </c>
    </row>
    <row r="53" ht="12.0" customHeight="1">
      <c r="E53" s="3" t="s">
        <v>43</v>
      </c>
      <c r="F53" s="3" t="s">
        <v>123</v>
      </c>
      <c r="G53" s="3">
        <v>1.94</v>
      </c>
      <c r="H53" s="3">
        <v>9.0</v>
      </c>
      <c r="I53" s="3">
        <v>4.0</v>
      </c>
      <c r="J53" s="3">
        <v>44.44</v>
      </c>
      <c r="K53" s="3">
        <v>28.0</v>
      </c>
      <c r="L53" s="3">
        <v>7.0</v>
      </c>
      <c r="M53" s="3">
        <v>25.0</v>
      </c>
      <c r="N53" s="3">
        <v>0.0</v>
      </c>
      <c r="O53" s="3">
        <v>0.0</v>
      </c>
      <c r="P53" s="3">
        <v>0.0</v>
      </c>
      <c r="Q53" s="3">
        <v>4.0</v>
      </c>
      <c r="R53" s="3">
        <v>0.0</v>
      </c>
      <c r="S53" s="3">
        <v>0.0</v>
      </c>
      <c r="T53" s="3">
        <v>1.0</v>
      </c>
      <c r="U53" s="3">
        <v>0.0</v>
      </c>
      <c r="V53" s="3">
        <v>0.0</v>
      </c>
      <c r="W53" s="3">
        <v>2.0</v>
      </c>
      <c r="X53" s="3">
        <v>2.0</v>
      </c>
      <c r="Y53" s="3">
        <v>100.0</v>
      </c>
      <c r="Z53" s="3">
        <v>19.0</v>
      </c>
      <c r="AA53" s="3">
        <v>5.0</v>
      </c>
      <c r="AB53" s="3">
        <v>26.32</v>
      </c>
      <c r="AC53" s="3">
        <v>48.0</v>
      </c>
      <c r="AD53" s="3">
        <v>17.0</v>
      </c>
      <c r="AE53" s="3">
        <v>35.42</v>
      </c>
      <c r="AF53" s="3">
        <v>2.0</v>
      </c>
    </row>
    <row r="54" ht="12.0" customHeight="1">
      <c r="A54" s="3" t="s">
        <v>124</v>
      </c>
      <c r="B54" s="3" t="s">
        <v>125</v>
      </c>
      <c r="C54" s="3" t="s">
        <v>36</v>
      </c>
      <c r="D54" s="3">
        <v>101.0</v>
      </c>
      <c r="E54" s="3" t="s">
        <v>32</v>
      </c>
      <c r="F54" s="3" t="s">
        <v>74</v>
      </c>
      <c r="G54" s="3">
        <v>1.18</v>
      </c>
      <c r="H54" s="3">
        <v>9.0</v>
      </c>
      <c r="I54" s="3">
        <v>5.0</v>
      </c>
      <c r="J54" s="3">
        <v>55.56</v>
      </c>
      <c r="K54" s="3">
        <v>18.0</v>
      </c>
      <c r="L54" s="3">
        <v>6.0</v>
      </c>
      <c r="M54" s="3">
        <v>33.33</v>
      </c>
      <c r="N54" s="3">
        <v>3.0</v>
      </c>
      <c r="O54" s="3">
        <v>2.0</v>
      </c>
      <c r="P54" s="3">
        <v>66.67</v>
      </c>
      <c r="Q54" s="3">
        <v>2.0</v>
      </c>
      <c r="R54" s="3">
        <v>0.0</v>
      </c>
      <c r="S54" s="3">
        <v>0.0</v>
      </c>
      <c r="T54" s="3">
        <v>1.0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13.0</v>
      </c>
      <c r="AA54" s="3">
        <v>4.0</v>
      </c>
      <c r="AB54" s="3">
        <v>30.77</v>
      </c>
      <c r="AC54" s="3">
        <v>63.0</v>
      </c>
      <c r="AD54" s="3">
        <v>29.0</v>
      </c>
      <c r="AE54" s="3">
        <v>46.03</v>
      </c>
      <c r="AF54" s="3">
        <v>4.0</v>
      </c>
    </row>
    <row r="55" ht="12.0" customHeight="1">
      <c r="E55" s="3" t="s">
        <v>96</v>
      </c>
      <c r="F55" s="3" t="s">
        <v>126</v>
      </c>
      <c r="G55" s="3">
        <v>0.97</v>
      </c>
      <c r="H55" s="3">
        <v>9.0</v>
      </c>
      <c r="I55" s="3">
        <v>4.0</v>
      </c>
      <c r="J55" s="3">
        <v>44.44</v>
      </c>
      <c r="K55" s="3">
        <v>23.0</v>
      </c>
      <c r="L55" s="3">
        <v>5.0</v>
      </c>
      <c r="M55" s="3">
        <v>21.74</v>
      </c>
      <c r="N55" s="3">
        <v>0.0</v>
      </c>
      <c r="O55" s="3">
        <v>0.0</v>
      </c>
      <c r="P55" s="3">
        <v>0.0</v>
      </c>
      <c r="Q55" s="3">
        <v>5.0</v>
      </c>
      <c r="R55" s="3">
        <v>1.0</v>
      </c>
      <c r="S55" s="3">
        <v>20.0</v>
      </c>
      <c r="T55" s="3">
        <v>4.0</v>
      </c>
      <c r="U55" s="3">
        <v>3.0</v>
      </c>
      <c r="V55" s="3">
        <v>75.0</v>
      </c>
      <c r="W55" s="3">
        <v>0.0</v>
      </c>
      <c r="X55" s="3">
        <v>0.0</v>
      </c>
      <c r="Y55" s="3">
        <v>0.0</v>
      </c>
      <c r="Z55" s="3">
        <v>17.0</v>
      </c>
      <c r="AA55" s="3">
        <v>4.0</v>
      </c>
      <c r="AB55" s="3">
        <v>23.53</v>
      </c>
      <c r="AC55" s="3">
        <v>44.0</v>
      </c>
      <c r="AD55" s="3">
        <v>18.0</v>
      </c>
      <c r="AE55" s="3">
        <v>40.91</v>
      </c>
      <c r="AF55" s="3">
        <v>2.0</v>
      </c>
    </row>
    <row r="56" ht="12.0" customHeight="1">
      <c r="A56" s="3" t="s">
        <v>127</v>
      </c>
      <c r="B56" s="3" t="s">
        <v>128</v>
      </c>
      <c r="C56" s="3" t="s">
        <v>36</v>
      </c>
      <c r="D56" s="3">
        <v>101.0</v>
      </c>
      <c r="E56" s="3" t="s">
        <v>32</v>
      </c>
      <c r="F56" s="3" t="s">
        <v>129</v>
      </c>
      <c r="G56" s="3">
        <v>0.68</v>
      </c>
      <c r="H56" s="3">
        <v>5.0</v>
      </c>
      <c r="I56" s="3">
        <v>4.0</v>
      </c>
      <c r="J56" s="3">
        <v>80.0</v>
      </c>
      <c r="K56" s="3">
        <v>19.0</v>
      </c>
      <c r="L56" s="3">
        <v>3.0</v>
      </c>
      <c r="M56" s="3">
        <v>15.79</v>
      </c>
      <c r="N56" s="3">
        <v>0.0</v>
      </c>
      <c r="O56" s="3">
        <v>0.0</v>
      </c>
      <c r="P56" s="3">
        <v>0.0</v>
      </c>
      <c r="Q56" s="3">
        <v>5.0</v>
      </c>
      <c r="R56" s="3">
        <v>2.0</v>
      </c>
      <c r="S56" s="3">
        <v>40.0</v>
      </c>
      <c r="T56" s="3">
        <v>3.0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7.0</v>
      </c>
      <c r="AA56" s="3">
        <v>2.0</v>
      </c>
      <c r="AB56" s="3">
        <v>28.57</v>
      </c>
      <c r="AC56" s="3">
        <v>62.0</v>
      </c>
      <c r="AD56" s="3">
        <v>15.0</v>
      </c>
      <c r="AE56" s="3">
        <v>24.19</v>
      </c>
      <c r="AF56" s="3">
        <v>1.0</v>
      </c>
    </row>
    <row r="57" ht="12.0" customHeight="1">
      <c r="E57" s="3" t="s">
        <v>93</v>
      </c>
      <c r="F57" s="3" t="s">
        <v>42</v>
      </c>
      <c r="G57" s="3">
        <v>1.63</v>
      </c>
      <c r="H57" s="3">
        <v>16.0</v>
      </c>
      <c r="I57" s="3">
        <v>6.0</v>
      </c>
      <c r="J57" s="3">
        <v>37.5</v>
      </c>
      <c r="K57" s="3">
        <v>46.0</v>
      </c>
      <c r="L57" s="3">
        <v>8.0</v>
      </c>
      <c r="M57" s="3">
        <v>17.39</v>
      </c>
      <c r="N57" s="3">
        <v>1.0</v>
      </c>
      <c r="O57" s="3">
        <v>1.0</v>
      </c>
      <c r="P57" s="3">
        <v>100.0</v>
      </c>
      <c r="Q57" s="3">
        <v>7.0</v>
      </c>
      <c r="R57" s="3">
        <v>5.0</v>
      </c>
      <c r="S57" s="3">
        <v>71.43</v>
      </c>
      <c r="T57" s="3">
        <v>2.0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32.0</v>
      </c>
      <c r="AA57" s="3">
        <v>11.0</v>
      </c>
      <c r="AB57" s="3">
        <v>34.38</v>
      </c>
      <c r="AC57" s="3">
        <v>79.0</v>
      </c>
      <c r="AD57" s="3">
        <v>41.0</v>
      </c>
      <c r="AE57" s="3">
        <v>51.9</v>
      </c>
      <c r="AF57" s="3">
        <v>3.0</v>
      </c>
    </row>
    <row r="58" ht="12.0" customHeight="1">
      <c r="A58" s="3" t="s">
        <v>130</v>
      </c>
      <c r="B58" s="3" t="s">
        <v>131</v>
      </c>
      <c r="C58" s="3" t="s">
        <v>36</v>
      </c>
      <c r="D58" s="3">
        <v>99.0</v>
      </c>
      <c r="E58" s="3" t="s">
        <v>32</v>
      </c>
      <c r="F58" s="3" t="s">
        <v>132</v>
      </c>
      <c r="G58" s="3">
        <v>1.02</v>
      </c>
      <c r="H58" s="3">
        <v>12.0</v>
      </c>
      <c r="I58" s="3">
        <v>7.0</v>
      </c>
      <c r="J58" s="3">
        <v>58.33</v>
      </c>
      <c r="K58" s="3">
        <v>34.0</v>
      </c>
      <c r="L58" s="3">
        <v>10.0</v>
      </c>
      <c r="M58" s="3">
        <v>29.41</v>
      </c>
      <c r="N58" s="3">
        <v>0.0</v>
      </c>
      <c r="O58" s="3">
        <v>0.0</v>
      </c>
      <c r="P58" s="3">
        <v>0.0</v>
      </c>
      <c r="Q58" s="3">
        <v>5.0</v>
      </c>
      <c r="R58" s="3">
        <v>0.0</v>
      </c>
      <c r="S58" s="3">
        <v>0.0</v>
      </c>
      <c r="T58" s="3">
        <v>1.0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14.0</v>
      </c>
      <c r="AA58" s="3">
        <v>7.0</v>
      </c>
      <c r="AB58" s="3">
        <v>50.0</v>
      </c>
      <c r="AC58" s="3">
        <v>71.0</v>
      </c>
      <c r="AD58" s="3">
        <v>25.0</v>
      </c>
      <c r="AE58" s="3">
        <v>35.21</v>
      </c>
      <c r="AF58" s="3">
        <v>0.0</v>
      </c>
    </row>
    <row r="59" ht="12.0" customHeight="1">
      <c r="E59" s="3" t="s">
        <v>54</v>
      </c>
      <c r="F59" s="3" t="s">
        <v>42</v>
      </c>
      <c r="G59" s="3">
        <v>0.52</v>
      </c>
      <c r="H59" s="3">
        <v>6.0</v>
      </c>
      <c r="I59" s="3">
        <v>2.0</v>
      </c>
      <c r="J59" s="3">
        <v>33.33</v>
      </c>
      <c r="K59" s="3">
        <v>27.0</v>
      </c>
      <c r="L59" s="3">
        <v>3.0</v>
      </c>
      <c r="M59" s="3">
        <v>11.11</v>
      </c>
      <c r="N59" s="3">
        <v>0.0</v>
      </c>
      <c r="O59" s="3">
        <v>0.0</v>
      </c>
      <c r="P59" s="3">
        <v>0.0</v>
      </c>
      <c r="Q59" s="3">
        <v>4.0</v>
      </c>
      <c r="R59" s="3">
        <v>0.0</v>
      </c>
      <c r="S59" s="3">
        <v>0.0</v>
      </c>
      <c r="T59" s="3">
        <v>1.0</v>
      </c>
      <c r="U59" s="3">
        <v>1.0</v>
      </c>
      <c r="V59" s="3">
        <v>100.0</v>
      </c>
      <c r="W59" s="3">
        <v>0.0</v>
      </c>
      <c r="X59" s="3">
        <v>0.0</v>
      </c>
      <c r="Y59" s="3">
        <v>0.0</v>
      </c>
      <c r="Z59" s="3">
        <v>26.0</v>
      </c>
      <c r="AA59" s="3">
        <v>7.0</v>
      </c>
      <c r="AB59" s="3">
        <v>26.92</v>
      </c>
      <c r="AC59" s="3">
        <v>85.0</v>
      </c>
      <c r="AD59" s="3">
        <v>36.0</v>
      </c>
      <c r="AE59" s="3">
        <v>42.35</v>
      </c>
      <c r="AF59" s="3">
        <v>0.0</v>
      </c>
    </row>
    <row r="60" ht="12.0" customHeight="1">
      <c r="A60" s="3" t="s">
        <v>133</v>
      </c>
      <c r="B60" s="3" t="s">
        <v>134</v>
      </c>
      <c r="C60" s="3" t="s">
        <v>36</v>
      </c>
      <c r="D60" s="3">
        <v>101.0</v>
      </c>
      <c r="E60" s="3" t="s">
        <v>32</v>
      </c>
      <c r="F60" s="3" t="s">
        <v>74</v>
      </c>
      <c r="G60" s="3">
        <v>1.07</v>
      </c>
      <c r="H60" s="3">
        <v>9.0</v>
      </c>
      <c r="I60" s="3">
        <v>3.0</v>
      </c>
      <c r="J60" s="3">
        <v>33.33</v>
      </c>
      <c r="K60" s="3">
        <v>25.0</v>
      </c>
      <c r="L60" s="3">
        <v>3.0</v>
      </c>
      <c r="M60" s="3">
        <v>12.0</v>
      </c>
      <c r="N60" s="3">
        <v>3.0</v>
      </c>
      <c r="O60" s="3">
        <v>1.0</v>
      </c>
      <c r="P60" s="3">
        <v>33.33</v>
      </c>
      <c r="Q60" s="3">
        <v>7.0</v>
      </c>
      <c r="R60" s="3">
        <v>1.0</v>
      </c>
      <c r="S60" s="3">
        <v>14.29</v>
      </c>
      <c r="T60" s="3">
        <v>5.0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14.0</v>
      </c>
      <c r="AA60" s="3">
        <v>4.0</v>
      </c>
      <c r="AB60" s="3">
        <v>28.57</v>
      </c>
      <c r="AC60" s="3">
        <v>70.0</v>
      </c>
      <c r="AD60" s="3">
        <v>36.0</v>
      </c>
      <c r="AE60" s="3">
        <v>51.43</v>
      </c>
      <c r="AF60" s="3">
        <v>2.0</v>
      </c>
    </row>
    <row r="61" ht="12.0" customHeight="1">
      <c r="E61" s="3" t="s">
        <v>135</v>
      </c>
      <c r="F61" s="3" t="s">
        <v>48</v>
      </c>
      <c r="G61" s="3">
        <v>2.49</v>
      </c>
      <c r="H61" s="3">
        <v>10.0</v>
      </c>
      <c r="I61" s="3">
        <v>6.0</v>
      </c>
      <c r="J61" s="3">
        <v>60.0</v>
      </c>
      <c r="K61" s="3">
        <v>16.0</v>
      </c>
      <c r="L61" s="3">
        <v>3.0</v>
      </c>
      <c r="M61" s="3">
        <v>18.75</v>
      </c>
      <c r="N61" s="3">
        <v>4.0</v>
      </c>
      <c r="O61" s="3">
        <v>3.0</v>
      </c>
      <c r="P61" s="3">
        <v>75.0</v>
      </c>
      <c r="Q61" s="3">
        <v>1.0</v>
      </c>
      <c r="R61" s="3">
        <v>0.0</v>
      </c>
      <c r="S61" s="3">
        <v>0.0</v>
      </c>
      <c r="T61" s="3">
        <v>4.0</v>
      </c>
      <c r="U61" s="3">
        <v>2.0</v>
      </c>
      <c r="V61" s="3">
        <v>50.0</v>
      </c>
      <c r="W61" s="3">
        <v>0.0</v>
      </c>
      <c r="X61" s="3">
        <v>0.0</v>
      </c>
      <c r="Y61" s="3">
        <v>0.0</v>
      </c>
      <c r="Z61" s="3">
        <v>11.0</v>
      </c>
      <c r="AA61" s="3">
        <v>4.0</v>
      </c>
      <c r="AB61" s="3">
        <v>36.36</v>
      </c>
      <c r="AC61" s="3">
        <v>54.0</v>
      </c>
      <c r="AD61" s="3">
        <v>15.0</v>
      </c>
      <c r="AE61" s="3">
        <v>27.78</v>
      </c>
      <c r="AF61" s="3">
        <v>1.0</v>
      </c>
    </row>
    <row r="62" ht="12.0" customHeight="1">
      <c r="A62" s="3" t="s">
        <v>136</v>
      </c>
      <c r="B62" s="3" t="s">
        <v>137</v>
      </c>
      <c r="C62" s="3" t="s">
        <v>36</v>
      </c>
      <c r="D62" s="3">
        <v>96.0</v>
      </c>
      <c r="E62" s="3" t="s">
        <v>32</v>
      </c>
      <c r="F62" s="3" t="s">
        <v>74</v>
      </c>
      <c r="G62" s="3">
        <v>0.96</v>
      </c>
      <c r="H62" s="3">
        <v>9.0</v>
      </c>
      <c r="I62" s="3">
        <v>4.0</v>
      </c>
      <c r="J62" s="3">
        <v>44.44</v>
      </c>
      <c r="K62" s="3">
        <v>46.0</v>
      </c>
      <c r="L62" s="3">
        <v>7.0</v>
      </c>
      <c r="M62" s="3">
        <v>15.22</v>
      </c>
      <c r="N62" s="3">
        <v>0.0</v>
      </c>
      <c r="O62" s="3">
        <v>0.0</v>
      </c>
      <c r="P62" s="3">
        <v>0.0</v>
      </c>
      <c r="Q62" s="3">
        <v>5.0</v>
      </c>
      <c r="R62" s="3">
        <v>1.0</v>
      </c>
      <c r="S62" s="3">
        <v>20.0</v>
      </c>
      <c r="T62" s="3">
        <v>3.0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23.0</v>
      </c>
      <c r="AA62" s="3">
        <v>6.0</v>
      </c>
      <c r="AB62" s="3">
        <v>26.09</v>
      </c>
      <c r="AC62" s="3">
        <v>69.0</v>
      </c>
      <c r="AD62" s="3">
        <v>28.0</v>
      </c>
      <c r="AE62" s="3">
        <v>40.58</v>
      </c>
      <c r="AF62" s="3">
        <v>2.0</v>
      </c>
    </row>
    <row r="63" ht="12.0" customHeight="1">
      <c r="E63" s="3" t="s">
        <v>61</v>
      </c>
      <c r="F63" s="3" t="s">
        <v>138</v>
      </c>
      <c r="G63" s="3">
        <v>1.26</v>
      </c>
      <c r="H63" s="3">
        <v>11.0</v>
      </c>
      <c r="I63" s="3">
        <v>4.0</v>
      </c>
      <c r="J63" s="3">
        <v>36.36</v>
      </c>
      <c r="K63" s="3">
        <v>20.0</v>
      </c>
      <c r="L63" s="3">
        <v>3.0</v>
      </c>
      <c r="M63" s="3">
        <v>15.0</v>
      </c>
      <c r="N63" s="3">
        <v>1.0</v>
      </c>
      <c r="O63" s="3">
        <v>1.0</v>
      </c>
      <c r="P63" s="3">
        <v>100.0</v>
      </c>
      <c r="Q63" s="3">
        <v>3.0</v>
      </c>
      <c r="R63" s="3">
        <v>2.0</v>
      </c>
      <c r="S63" s="3">
        <v>66.67</v>
      </c>
      <c r="T63" s="3">
        <v>3.0</v>
      </c>
      <c r="U63" s="3">
        <v>2.0</v>
      </c>
      <c r="V63" s="3">
        <v>66.67</v>
      </c>
      <c r="W63" s="3">
        <v>0.0</v>
      </c>
      <c r="X63" s="3">
        <v>0.0</v>
      </c>
      <c r="Y63" s="3">
        <v>0.0</v>
      </c>
      <c r="Z63" s="3">
        <v>17.0</v>
      </c>
      <c r="AA63" s="3">
        <v>8.0</v>
      </c>
      <c r="AB63" s="3">
        <v>47.06</v>
      </c>
      <c r="AC63" s="3">
        <v>56.0</v>
      </c>
      <c r="AD63" s="3">
        <v>23.0</v>
      </c>
      <c r="AE63" s="3">
        <v>41.07</v>
      </c>
      <c r="AF63" s="3">
        <v>1.0</v>
      </c>
    </row>
    <row r="64" ht="12.0" customHeight="1">
      <c r="A64" s="3" t="s">
        <v>139</v>
      </c>
      <c r="B64" s="3" t="s">
        <v>140</v>
      </c>
      <c r="C64" s="3" t="s">
        <v>36</v>
      </c>
      <c r="D64" s="3">
        <v>97.0</v>
      </c>
      <c r="E64" s="3" t="s">
        <v>32</v>
      </c>
      <c r="F64" s="3" t="s">
        <v>74</v>
      </c>
      <c r="G64" s="3">
        <v>1.04</v>
      </c>
      <c r="H64" s="3">
        <v>13.0</v>
      </c>
      <c r="I64" s="3">
        <v>2.0</v>
      </c>
      <c r="J64" s="3">
        <v>15.38</v>
      </c>
      <c r="K64" s="3">
        <v>24.0</v>
      </c>
      <c r="L64" s="3">
        <v>10.0</v>
      </c>
      <c r="M64" s="3">
        <v>41.67</v>
      </c>
      <c r="N64" s="3">
        <v>4.0</v>
      </c>
      <c r="O64" s="3">
        <v>2.0</v>
      </c>
      <c r="P64" s="3">
        <v>50.0</v>
      </c>
      <c r="Q64" s="3">
        <v>2.0</v>
      </c>
      <c r="R64" s="3">
        <v>0.0</v>
      </c>
      <c r="S64" s="3">
        <v>0.0</v>
      </c>
      <c r="T64" s="3">
        <v>2.0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9.0</v>
      </c>
      <c r="AA64" s="3">
        <v>3.0</v>
      </c>
      <c r="AB64" s="3">
        <v>33.33</v>
      </c>
      <c r="AC64" s="3">
        <v>70.0</v>
      </c>
      <c r="AD64" s="3">
        <v>26.0</v>
      </c>
      <c r="AE64" s="3">
        <v>37.14</v>
      </c>
      <c r="AF64" s="3">
        <v>2.0</v>
      </c>
    </row>
    <row r="65" ht="12.0" customHeight="1">
      <c r="E65" s="3" t="s">
        <v>99</v>
      </c>
      <c r="F65" s="3" t="s">
        <v>141</v>
      </c>
      <c r="G65" s="3">
        <v>2.22</v>
      </c>
      <c r="H65" s="3">
        <v>16.0</v>
      </c>
      <c r="I65" s="3">
        <v>4.0</v>
      </c>
      <c r="J65" s="3">
        <v>25.0</v>
      </c>
      <c r="K65" s="3">
        <v>33.0</v>
      </c>
      <c r="L65" s="3">
        <v>11.0</v>
      </c>
      <c r="M65" s="3">
        <v>33.33</v>
      </c>
      <c r="N65" s="3">
        <v>1.0</v>
      </c>
      <c r="O65" s="3">
        <v>1.0</v>
      </c>
      <c r="P65" s="3">
        <v>100.0</v>
      </c>
      <c r="Q65" s="3">
        <v>7.0</v>
      </c>
      <c r="R65" s="3">
        <v>2.0</v>
      </c>
      <c r="S65" s="3">
        <v>28.57</v>
      </c>
      <c r="T65" s="3">
        <v>3.0</v>
      </c>
      <c r="U65" s="3">
        <v>2.0</v>
      </c>
      <c r="V65" s="3">
        <v>66.67</v>
      </c>
      <c r="W65" s="3">
        <v>0.0</v>
      </c>
      <c r="X65" s="3">
        <v>0.0</v>
      </c>
      <c r="Y65" s="3">
        <v>0.0</v>
      </c>
      <c r="Z65" s="3">
        <v>25.0</v>
      </c>
      <c r="AA65" s="3">
        <v>7.0</v>
      </c>
      <c r="AB65" s="3">
        <v>28.0</v>
      </c>
      <c r="AC65" s="3">
        <v>62.0</v>
      </c>
      <c r="AD65" s="3">
        <v>28.0</v>
      </c>
      <c r="AE65" s="3">
        <v>45.16</v>
      </c>
      <c r="AF65" s="3">
        <v>0.0</v>
      </c>
    </row>
    <row r="66" ht="12.0" customHeight="1">
      <c r="A66" s="3" t="s">
        <v>142</v>
      </c>
      <c r="B66" s="3" t="s">
        <v>143</v>
      </c>
      <c r="C66" s="3" t="s">
        <v>36</v>
      </c>
      <c r="D66" s="3">
        <v>97.0</v>
      </c>
      <c r="E66" s="3" t="s">
        <v>32</v>
      </c>
      <c r="F66" s="3" t="s">
        <v>42</v>
      </c>
      <c r="G66" s="3">
        <v>1.41</v>
      </c>
      <c r="H66" s="3">
        <v>15.0</v>
      </c>
      <c r="I66" s="3">
        <v>8.0</v>
      </c>
      <c r="J66" s="3">
        <v>53.33</v>
      </c>
      <c r="K66" s="3">
        <v>23.0</v>
      </c>
      <c r="L66" s="3">
        <v>9.0</v>
      </c>
      <c r="M66" s="3">
        <v>39.13</v>
      </c>
      <c r="N66" s="3">
        <v>0.0</v>
      </c>
      <c r="O66" s="3">
        <v>0.0</v>
      </c>
      <c r="P66" s="3">
        <v>0.0</v>
      </c>
      <c r="Q66" s="3">
        <v>2.0</v>
      </c>
      <c r="R66" s="3">
        <v>0.0</v>
      </c>
      <c r="S66" s="3">
        <v>0.0</v>
      </c>
      <c r="T66" s="3">
        <v>4.0</v>
      </c>
      <c r="U66" s="3">
        <v>1.0</v>
      </c>
      <c r="V66" s="3">
        <v>25.0</v>
      </c>
      <c r="W66" s="3">
        <v>0.0</v>
      </c>
      <c r="X66" s="3">
        <v>0.0</v>
      </c>
      <c r="Y66" s="3">
        <v>0.0</v>
      </c>
      <c r="Z66" s="3">
        <v>15.0</v>
      </c>
      <c r="AA66" s="3">
        <v>4.0</v>
      </c>
      <c r="AB66" s="3">
        <v>26.67</v>
      </c>
      <c r="AC66" s="3">
        <v>81.0</v>
      </c>
      <c r="AD66" s="3">
        <v>40.0</v>
      </c>
      <c r="AE66" s="3">
        <v>49.38</v>
      </c>
      <c r="AF66" s="3">
        <v>1.0</v>
      </c>
    </row>
    <row r="67" ht="12.0" customHeight="1">
      <c r="E67" s="3" t="s">
        <v>77</v>
      </c>
      <c r="F67" s="3" t="s">
        <v>42</v>
      </c>
      <c r="G67" s="3">
        <v>1.32</v>
      </c>
      <c r="H67" s="3">
        <v>12.0</v>
      </c>
      <c r="I67" s="3">
        <v>5.0</v>
      </c>
      <c r="J67" s="3">
        <v>41.67</v>
      </c>
      <c r="K67" s="3">
        <v>37.0</v>
      </c>
      <c r="L67" s="3">
        <v>6.0</v>
      </c>
      <c r="M67" s="3">
        <v>16.22</v>
      </c>
      <c r="N67" s="3">
        <v>1.0</v>
      </c>
      <c r="O67" s="3">
        <v>1.0</v>
      </c>
      <c r="P67" s="3">
        <v>100.0</v>
      </c>
      <c r="Q67" s="3">
        <v>4.0</v>
      </c>
      <c r="R67" s="3">
        <v>3.0</v>
      </c>
      <c r="S67" s="3">
        <v>75.0</v>
      </c>
      <c r="T67" s="3">
        <v>4.0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11.0</v>
      </c>
      <c r="AA67" s="3">
        <v>2.0</v>
      </c>
      <c r="AB67" s="3">
        <v>18.18</v>
      </c>
      <c r="AC67" s="3">
        <v>68.0</v>
      </c>
      <c r="AD67" s="3">
        <v>25.0</v>
      </c>
      <c r="AE67" s="3">
        <v>36.76</v>
      </c>
      <c r="AF67" s="3">
        <v>4.0</v>
      </c>
    </row>
    <row r="68" ht="12.0" customHeight="1">
      <c r="A68" s="3" t="s">
        <v>144</v>
      </c>
      <c r="B68" s="3" t="s">
        <v>145</v>
      </c>
      <c r="C68" s="3" t="s">
        <v>36</v>
      </c>
      <c r="D68" s="3">
        <v>103.0</v>
      </c>
      <c r="E68" s="3" t="s">
        <v>32</v>
      </c>
      <c r="F68" s="3" t="s">
        <v>146</v>
      </c>
      <c r="G68" s="3">
        <v>1.22</v>
      </c>
      <c r="H68" s="3">
        <v>6.0</v>
      </c>
      <c r="I68" s="3">
        <v>4.0</v>
      </c>
      <c r="J68" s="3">
        <v>66.67</v>
      </c>
      <c r="K68" s="3">
        <v>23.0</v>
      </c>
      <c r="L68" s="3">
        <v>5.0</v>
      </c>
      <c r="M68" s="3">
        <v>21.74</v>
      </c>
      <c r="N68" s="3">
        <v>0.0</v>
      </c>
      <c r="O68" s="3">
        <v>0.0</v>
      </c>
      <c r="P68" s="3">
        <v>0.0</v>
      </c>
      <c r="Q68" s="3">
        <v>5.0</v>
      </c>
      <c r="R68" s="3">
        <v>0.0</v>
      </c>
      <c r="S68" s="3">
        <v>0.0</v>
      </c>
      <c r="T68" s="3">
        <v>1.0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10.0</v>
      </c>
      <c r="AA68" s="3">
        <v>4.0</v>
      </c>
      <c r="AB68" s="3">
        <v>40.0</v>
      </c>
      <c r="AC68" s="3">
        <v>68.0</v>
      </c>
      <c r="AD68" s="3">
        <v>31.0</v>
      </c>
      <c r="AE68" s="3">
        <v>45.59</v>
      </c>
      <c r="AF68" s="3">
        <v>5.0</v>
      </c>
    </row>
    <row r="69" ht="12.0" customHeight="1">
      <c r="E69" s="3" t="s">
        <v>103</v>
      </c>
      <c r="F69" s="3" t="s">
        <v>147</v>
      </c>
      <c r="G69" s="3">
        <v>1.64</v>
      </c>
      <c r="H69" s="3">
        <v>12.0</v>
      </c>
      <c r="I69" s="3">
        <v>4.0</v>
      </c>
      <c r="J69" s="3">
        <v>33.33</v>
      </c>
      <c r="K69" s="3">
        <v>23.0</v>
      </c>
      <c r="L69" s="3">
        <v>6.0</v>
      </c>
      <c r="M69" s="3">
        <v>26.09</v>
      </c>
      <c r="N69" s="3">
        <v>1.0</v>
      </c>
      <c r="O69" s="3">
        <v>0.0</v>
      </c>
      <c r="P69" s="3">
        <v>0.0</v>
      </c>
      <c r="Q69" s="3">
        <v>4.0</v>
      </c>
      <c r="R69" s="3">
        <v>3.0</v>
      </c>
      <c r="S69" s="3">
        <v>75.0</v>
      </c>
      <c r="T69" s="3">
        <v>6.0</v>
      </c>
      <c r="U69" s="3">
        <v>1.0</v>
      </c>
      <c r="V69" s="3">
        <v>16.67</v>
      </c>
      <c r="W69" s="3">
        <v>0.0</v>
      </c>
      <c r="X69" s="3">
        <v>0.0</v>
      </c>
      <c r="Y69" s="3">
        <v>0.0</v>
      </c>
      <c r="Z69" s="3">
        <v>10.0</v>
      </c>
      <c r="AA69" s="3">
        <v>2.0</v>
      </c>
      <c r="AB69" s="3">
        <v>20.0</v>
      </c>
      <c r="AC69" s="3">
        <v>48.0</v>
      </c>
      <c r="AD69" s="3">
        <v>19.0</v>
      </c>
      <c r="AE69" s="3">
        <v>39.58</v>
      </c>
      <c r="AF69" s="3">
        <v>1.0</v>
      </c>
    </row>
    <row r="70" ht="12.0" customHeight="1">
      <c r="A70" s="3" t="s">
        <v>148</v>
      </c>
      <c r="B70" s="3" t="s">
        <v>149</v>
      </c>
      <c r="C70" s="3" t="s">
        <v>36</v>
      </c>
      <c r="D70" s="3">
        <v>96.0</v>
      </c>
      <c r="E70" s="3" t="s">
        <v>32</v>
      </c>
      <c r="F70" s="3" t="s">
        <v>42</v>
      </c>
      <c r="G70" s="3">
        <v>1.19</v>
      </c>
      <c r="H70" s="3">
        <v>14.0</v>
      </c>
      <c r="I70" s="3">
        <v>4.0</v>
      </c>
      <c r="J70" s="3">
        <v>28.57</v>
      </c>
      <c r="K70" s="3">
        <v>33.0</v>
      </c>
      <c r="L70" s="3">
        <v>9.0</v>
      </c>
      <c r="M70" s="3">
        <v>27.27</v>
      </c>
      <c r="N70" s="3">
        <v>0.0</v>
      </c>
      <c r="O70" s="3">
        <v>0.0</v>
      </c>
      <c r="P70" s="3">
        <v>0.0</v>
      </c>
      <c r="Q70" s="3">
        <v>7.0</v>
      </c>
      <c r="R70" s="3">
        <v>3.0</v>
      </c>
      <c r="S70" s="3">
        <v>42.86</v>
      </c>
      <c r="T70" s="3">
        <v>1.0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14.0</v>
      </c>
      <c r="AA70" s="3">
        <v>2.0</v>
      </c>
      <c r="AB70" s="3">
        <v>14.29</v>
      </c>
      <c r="AC70" s="3">
        <v>62.0</v>
      </c>
      <c r="AD70" s="3">
        <v>16.0</v>
      </c>
      <c r="AE70" s="3">
        <v>25.81</v>
      </c>
      <c r="AF70" s="3">
        <v>2.0</v>
      </c>
    </row>
    <row r="71" ht="12.0" customHeight="1">
      <c r="E71" s="3" t="s">
        <v>47</v>
      </c>
      <c r="F71" s="3" t="s">
        <v>150</v>
      </c>
      <c r="G71" s="3">
        <v>1.73</v>
      </c>
      <c r="H71" s="3">
        <v>14.0</v>
      </c>
      <c r="I71" s="3">
        <v>0.0</v>
      </c>
      <c r="J71" s="3">
        <v>0.0</v>
      </c>
      <c r="K71" s="3">
        <v>30.0</v>
      </c>
      <c r="L71" s="3">
        <v>9.0</v>
      </c>
      <c r="M71" s="3">
        <v>30.0</v>
      </c>
      <c r="N71" s="3">
        <v>0.0</v>
      </c>
      <c r="O71" s="3">
        <v>0.0</v>
      </c>
      <c r="P71" s="3">
        <v>0.0</v>
      </c>
      <c r="Q71" s="3">
        <v>9.0</v>
      </c>
      <c r="R71" s="3">
        <v>4.0</v>
      </c>
      <c r="S71" s="3">
        <v>44.44</v>
      </c>
      <c r="T71" s="3">
        <v>3.0</v>
      </c>
      <c r="U71" s="3">
        <v>2.0</v>
      </c>
      <c r="V71" s="3">
        <v>66.67</v>
      </c>
      <c r="W71" s="3">
        <v>0.0</v>
      </c>
      <c r="X71" s="3">
        <v>0.0</v>
      </c>
      <c r="Y71" s="3">
        <v>0.0</v>
      </c>
      <c r="Z71" s="3">
        <v>14.0</v>
      </c>
      <c r="AA71" s="3">
        <v>1.0</v>
      </c>
      <c r="AB71" s="3">
        <v>7.14</v>
      </c>
      <c r="AC71" s="3">
        <v>68.0</v>
      </c>
      <c r="AD71" s="3">
        <v>29.0</v>
      </c>
      <c r="AE71" s="3">
        <v>42.65</v>
      </c>
      <c r="AF71" s="3">
        <v>1.0</v>
      </c>
    </row>
    <row r="72" ht="12.0" customHeight="1">
      <c r="A72" s="3" t="s">
        <v>151</v>
      </c>
      <c r="B72" s="3" t="s">
        <v>152</v>
      </c>
      <c r="C72" s="3" t="s">
        <v>36</v>
      </c>
      <c r="D72" s="3">
        <v>97.0</v>
      </c>
      <c r="E72" s="3" t="s">
        <v>32</v>
      </c>
      <c r="F72" s="3" t="s">
        <v>42</v>
      </c>
      <c r="G72" s="3">
        <v>2.15</v>
      </c>
      <c r="H72" s="3">
        <v>16.0</v>
      </c>
      <c r="I72" s="3">
        <v>5.0</v>
      </c>
      <c r="J72" s="3">
        <v>31.25</v>
      </c>
      <c r="K72" s="3">
        <v>35.0</v>
      </c>
      <c r="L72" s="3">
        <v>11.0</v>
      </c>
      <c r="M72" s="3">
        <v>31.43</v>
      </c>
      <c r="N72" s="3">
        <v>1.0</v>
      </c>
      <c r="O72" s="3">
        <v>1.0</v>
      </c>
      <c r="P72" s="3">
        <v>100.0</v>
      </c>
      <c r="Q72" s="3">
        <v>9.0</v>
      </c>
      <c r="R72" s="3">
        <v>2.0</v>
      </c>
      <c r="S72" s="3">
        <v>22.22</v>
      </c>
      <c r="T72" s="3">
        <v>3.0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11.0</v>
      </c>
      <c r="AA72" s="3">
        <v>4.0</v>
      </c>
      <c r="AB72" s="3">
        <v>36.36</v>
      </c>
      <c r="AC72" s="3">
        <v>64.0</v>
      </c>
      <c r="AD72" s="3">
        <v>19.0</v>
      </c>
      <c r="AE72" s="3">
        <v>29.69</v>
      </c>
      <c r="AF72" s="3">
        <v>6.0</v>
      </c>
    </row>
    <row r="73" ht="12.0" customHeight="1">
      <c r="E73" s="3" t="s">
        <v>89</v>
      </c>
      <c r="F73" s="3" t="s">
        <v>153</v>
      </c>
      <c r="G73" s="3">
        <v>0.45</v>
      </c>
      <c r="H73" s="3">
        <v>4.0</v>
      </c>
      <c r="I73" s="3">
        <v>1.0</v>
      </c>
      <c r="J73" s="3">
        <v>25.0</v>
      </c>
      <c r="K73" s="3">
        <v>15.0</v>
      </c>
      <c r="L73" s="3">
        <v>2.0</v>
      </c>
      <c r="M73" s="3">
        <v>13.33</v>
      </c>
      <c r="N73" s="3">
        <v>0.0</v>
      </c>
      <c r="O73" s="3">
        <v>0.0</v>
      </c>
      <c r="P73" s="3">
        <v>0.0</v>
      </c>
      <c r="Q73" s="3">
        <v>6.0</v>
      </c>
      <c r="R73" s="3">
        <v>2.0</v>
      </c>
      <c r="S73" s="3">
        <v>33.33</v>
      </c>
      <c r="T73" s="3">
        <v>5.0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8.0</v>
      </c>
      <c r="AA73" s="3">
        <v>1.0</v>
      </c>
      <c r="AB73" s="3">
        <v>12.5</v>
      </c>
      <c r="AC73" s="3">
        <v>48.0</v>
      </c>
      <c r="AD73" s="3">
        <v>25.0</v>
      </c>
      <c r="AE73" s="3">
        <v>52.08</v>
      </c>
      <c r="AF73" s="3">
        <v>0.0</v>
      </c>
    </row>
    <row r="74" ht="12.0" customHeight="1">
      <c r="A74" s="3" t="s">
        <v>154</v>
      </c>
      <c r="B74" s="3" t="s">
        <v>155</v>
      </c>
      <c r="C74" s="3" t="s">
        <v>36</v>
      </c>
      <c r="D74" s="3">
        <v>106.0</v>
      </c>
      <c r="E74" s="3" t="s">
        <v>32</v>
      </c>
      <c r="F74" s="3" t="s">
        <v>42</v>
      </c>
      <c r="G74" s="3">
        <v>1.71</v>
      </c>
      <c r="H74" s="3">
        <v>18.0</v>
      </c>
      <c r="I74" s="3">
        <v>4.0</v>
      </c>
      <c r="J74" s="3">
        <v>22.22</v>
      </c>
      <c r="K74" s="3">
        <v>31.0</v>
      </c>
      <c r="L74" s="3">
        <v>10.0</v>
      </c>
      <c r="M74" s="3">
        <v>32.26</v>
      </c>
      <c r="N74" s="3">
        <v>0.0</v>
      </c>
      <c r="O74" s="3">
        <v>0.0</v>
      </c>
      <c r="P74" s="3">
        <v>0.0</v>
      </c>
      <c r="Q74" s="3">
        <v>6.0</v>
      </c>
      <c r="R74" s="3">
        <v>4.0</v>
      </c>
      <c r="S74" s="3">
        <v>66.67</v>
      </c>
      <c r="T74" s="3">
        <v>2.0</v>
      </c>
      <c r="U74" s="3">
        <v>3.0</v>
      </c>
      <c r="V74" s="3">
        <v>150.0</v>
      </c>
      <c r="W74" s="3">
        <v>0.0</v>
      </c>
      <c r="X74" s="3">
        <v>0.0</v>
      </c>
      <c r="Y74" s="3">
        <v>0.0</v>
      </c>
      <c r="Z74" s="3">
        <v>22.0</v>
      </c>
      <c r="AA74" s="3">
        <v>7.0</v>
      </c>
      <c r="AB74" s="3">
        <v>31.82</v>
      </c>
      <c r="AC74" s="3">
        <v>72.0</v>
      </c>
      <c r="AD74" s="3">
        <v>30.0</v>
      </c>
      <c r="AE74" s="3">
        <v>41.67</v>
      </c>
      <c r="AF74" s="3">
        <v>3.0</v>
      </c>
    </row>
    <row r="75" ht="12.0" customHeight="1">
      <c r="E75" s="3" t="s">
        <v>65</v>
      </c>
      <c r="F75" s="3" t="s">
        <v>156</v>
      </c>
      <c r="G75" s="3">
        <v>1.99</v>
      </c>
      <c r="H75" s="3">
        <v>12.0</v>
      </c>
      <c r="I75" s="3">
        <v>3.0</v>
      </c>
      <c r="J75" s="3">
        <v>25.0</v>
      </c>
      <c r="K75" s="3">
        <v>21.0</v>
      </c>
      <c r="L75" s="3">
        <v>6.0</v>
      </c>
      <c r="M75" s="3">
        <v>28.57</v>
      </c>
      <c r="N75" s="3">
        <v>0.0</v>
      </c>
      <c r="O75" s="3">
        <v>0.0</v>
      </c>
      <c r="P75" s="3">
        <v>0.0</v>
      </c>
      <c r="Q75" s="3">
        <v>5.0</v>
      </c>
      <c r="R75" s="3">
        <v>3.0</v>
      </c>
      <c r="S75" s="3">
        <v>60.0</v>
      </c>
      <c r="T75" s="3">
        <v>4.0</v>
      </c>
      <c r="U75" s="3">
        <v>0.0</v>
      </c>
      <c r="V75" s="3">
        <v>0.0</v>
      </c>
      <c r="W75" s="3">
        <v>1.0</v>
      </c>
      <c r="X75" s="3">
        <v>1.0</v>
      </c>
      <c r="Y75" s="3">
        <v>100.0</v>
      </c>
      <c r="Z75" s="3">
        <v>24.0</v>
      </c>
      <c r="AA75" s="3">
        <v>10.0</v>
      </c>
      <c r="AB75" s="3">
        <v>41.67</v>
      </c>
      <c r="AC75" s="3">
        <v>73.0</v>
      </c>
      <c r="AD75" s="3">
        <v>27.0</v>
      </c>
      <c r="AE75" s="3">
        <v>36.99</v>
      </c>
      <c r="AF75" s="3">
        <v>2.0</v>
      </c>
    </row>
    <row r="76" ht="12.0" customHeight="1">
      <c r="A76" s="3" t="s">
        <v>157</v>
      </c>
      <c r="B76" s="3" t="s">
        <v>158</v>
      </c>
      <c r="C76" s="3" t="s">
        <v>36</v>
      </c>
      <c r="D76" s="3">
        <v>97.0</v>
      </c>
      <c r="E76" s="3" t="s">
        <v>32</v>
      </c>
      <c r="F76" s="3" t="s">
        <v>42</v>
      </c>
      <c r="G76" s="3">
        <v>3.02</v>
      </c>
      <c r="H76" s="3">
        <v>25.0</v>
      </c>
      <c r="I76" s="3">
        <v>8.0</v>
      </c>
      <c r="J76" s="3">
        <v>32.0</v>
      </c>
      <c r="K76" s="3">
        <v>40.0</v>
      </c>
      <c r="L76" s="3">
        <v>14.0</v>
      </c>
      <c r="M76" s="3">
        <v>35.0</v>
      </c>
      <c r="N76" s="3">
        <v>2.0</v>
      </c>
      <c r="O76" s="3">
        <v>1.0</v>
      </c>
      <c r="P76" s="3">
        <v>50.0</v>
      </c>
      <c r="Q76" s="3">
        <v>10.0</v>
      </c>
      <c r="R76" s="3">
        <v>5.0</v>
      </c>
      <c r="S76" s="3">
        <v>50.0</v>
      </c>
      <c r="T76" s="3">
        <v>2.0</v>
      </c>
      <c r="U76" s="3">
        <v>1.0</v>
      </c>
      <c r="V76" s="3">
        <v>50.0</v>
      </c>
      <c r="W76" s="3">
        <v>0.0</v>
      </c>
      <c r="X76" s="3">
        <v>0.0</v>
      </c>
      <c r="Y76" s="3">
        <v>0.0</v>
      </c>
      <c r="Z76" s="3">
        <v>29.0</v>
      </c>
      <c r="AA76" s="3">
        <v>13.0</v>
      </c>
      <c r="AB76" s="3">
        <v>44.83</v>
      </c>
      <c r="AC76" s="3">
        <v>64.0</v>
      </c>
      <c r="AD76" s="3">
        <v>27.0</v>
      </c>
      <c r="AE76" s="3">
        <v>42.19</v>
      </c>
      <c r="AF76" s="3">
        <v>2.0</v>
      </c>
    </row>
    <row r="77" ht="12.0" customHeight="1">
      <c r="E77" s="3" t="s">
        <v>51</v>
      </c>
      <c r="F77" s="3" t="s">
        <v>39</v>
      </c>
      <c r="G77" s="3">
        <v>0.25</v>
      </c>
      <c r="H77" s="3">
        <v>4.0</v>
      </c>
      <c r="I77" s="3">
        <v>2.0</v>
      </c>
      <c r="J77" s="3">
        <v>50.0</v>
      </c>
      <c r="K77" s="3">
        <v>14.0</v>
      </c>
      <c r="L77" s="3">
        <v>3.0</v>
      </c>
      <c r="M77" s="3">
        <v>21.43</v>
      </c>
      <c r="N77" s="3">
        <v>0.0</v>
      </c>
      <c r="O77" s="3">
        <v>0.0</v>
      </c>
      <c r="P77" s="3">
        <v>0.0</v>
      </c>
      <c r="Q77" s="3">
        <v>2.0</v>
      </c>
      <c r="R77" s="3">
        <v>1.0</v>
      </c>
      <c r="S77" s="3">
        <v>50.0</v>
      </c>
      <c r="T77" s="3">
        <v>3.0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9.0</v>
      </c>
      <c r="AA77" s="3">
        <v>4.0</v>
      </c>
      <c r="AB77" s="3">
        <v>44.44</v>
      </c>
      <c r="AC77" s="3">
        <v>45.0</v>
      </c>
      <c r="AD77" s="3">
        <v>11.0</v>
      </c>
      <c r="AE77" s="3">
        <v>24.44</v>
      </c>
      <c r="AF77" s="3">
        <v>1.0</v>
      </c>
    </row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8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16:A17"/>
    <mergeCell ref="B16:B17"/>
    <mergeCell ref="C16:C17"/>
    <mergeCell ref="D16:D17"/>
    <mergeCell ref="B18:B19"/>
    <mergeCell ref="C18:C19"/>
    <mergeCell ref="D18:D19"/>
    <mergeCell ref="A18:A19"/>
    <mergeCell ref="A20:A21"/>
    <mergeCell ref="B20:B21"/>
    <mergeCell ref="C20:C21"/>
    <mergeCell ref="D20:D21"/>
    <mergeCell ref="A22:A23"/>
    <mergeCell ref="B22:B23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A74:A75"/>
    <mergeCell ref="A76:A77"/>
    <mergeCell ref="B76:B77"/>
    <mergeCell ref="C76:C77"/>
    <mergeCell ref="D76:D77"/>
    <mergeCell ref="A72:A73"/>
    <mergeCell ref="B72:B73"/>
    <mergeCell ref="C72:C73"/>
    <mergeCell ref="D72:D73"/>
    <mergeCell ref="B74:B75"/>
    <mergeCell ref="C74:C75"/>
    <mergeCell ref="D74:D75"/>
    <mergeCell ref="A34:A35"/>
    <mergeCell ref="A36:A37"/>
    <mergeCell ref="B36:B37"/>
    <mergeCell ref="C36:C37"/>
    <mergeCell ref="D36:D37"/>
    <mergeCell ref="A38:A39"/>
    <mergeCell ref="B38:B39"/>
    <mergeCell ref="A32:A33"/>
    <mergeCell ref="B32:B33"/>
    <mergeCell ref="C32:C33"/>
    <mergeCell ref="D32:D33"/>
    <mergeCell ref="B34:B35"/>
    <mergeCell ref="C34:C35"/>
    <mergeCell ref="D34:D35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  <mergeCell ref="A4:A5"/>
    <mergeCell ref="B4:B5"/>
    <mergeCell ref="C4:C5"/>
    <mergeCell ref="D4:D5"/>
    <mergeCell ref="A6:A7"/>
    <mergeCell ref="B6:B7"/>
    <mergeCell ref="B10:B11"/>
    <mergeCell ref="C10:C11"/>
    <mergeCell ref="C6:C7"/>
    <mergeCell ref="D6:D7"/>
    <mergeCell ref="A8:A9"/>
    <mergeCell ref="B8:B9"/>
    <mergeCell ref="C8:C9"/>
    <mergeCell ref="D8:D9"/>
    <mergeCell ref="D10:D11"/>
    <mergeCell ref="C14:C15"/>
    <mergeCell ref="D14:D15"/>
    <mergeCell ref="A10:A11"/>
    <mergeCell ref="A12:A13"/>
    <mergeCell ref="B12:B13"/>
    <mergeCell ref="C12:C13"/>
    <mergeCell ref="D12:D13"/>
    <mergeCell ref="A14:A15"/>
    <mergeCell ref="B14:B15"/>
    <mergeCell ref="C22:C23"/>
    <mergeCell ref="D22:D2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2026-06-03T15:49:17Z</dcterms:created>
  <dc:creator>axlsx</dc:creator>
</cp:coreProperties>
</file>